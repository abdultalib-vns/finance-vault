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Financial Statements\"/>
    </mc:Choice>
  </mc:AlternateContent>
  <xr:revisionPtr revIDLastSave="0" documentId="13_ncr:1_{F5E271E6-14CE-40C4-87C4-4AD2146F25F5}" xr6:coauthVersionLast="47" xr6:coauthVersionMax="47" xr10:uidLastSave="{00000000-0000-0000-0000-000000000000}"/>
  <bookViews>
    <workbookView xWindow="-108" yWindow="-108" windowWidth="23256" windowHeight="12456" xr2:uid="{D3DF9DC6-A8B9-42C6-80BD-10F7189CA903}"/>
  </bookViews>
  <sheets>
    <sheet name="Budget Manager" sheetId="23" r:id="rId1"/>
  </sheets>
  <definedNames>
    <definedName name="_xlnm._FilterDatabase" localSheetId="0" hidden="1">'Budget Manager'!$G$7:$P$58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23" l="1"/>
  <c r="D67" i="23"/>
  <c r="U50" i="23"/>
  <c r="D44" i="23"/>
  <c r="D51" i="23" s="1"/>
  <c r="AG28" i="23"/>
  <c r="AA26" i="23"/>
  <c r="U26" i="23"/>
  <c r="D17" i="23"/>
  <c r="L72" i="23"/>
  <c r="D34" i="23" l="1"/>
  <c r="L70" i="23"/>
  <c r="L73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Syed Abdul Talib</author>
  </authors>
  <commentList>
    <comment ref="D8" authorId="0" shapeId="0" xr:uid="{D612F360-A1DF-49F4-8EDA-5270AD1E7532}">
      <text>
        <r>
          <rPr>
            <b/>
            <sz val="9"/>
            <color indexed="81"/>
            <rFont val="Tahoma"/>
            <charset val="1"/>
          </rPr>
          <t>Syed Abdul Talib:</t>
        </r>
        <r>
          <rPr>
            <sz val="9"/>
            <color indexed="81"/>
            <rFont val="Tahoma"/>
            <charset val="1"/>
          </rPr>
          <t xml:space="preserve">
₹30,000 Vaizul
</t>
        </r>
      </text>
    </comment>
    <comment ref="D9" authorId="0" shapeId="0" xr:uid="{6FEC2CCF-6190-4239-9818-3C50B3B47BC1}">
      <text>
        <r>
          <rPr>
            <b/>
            <sz val="9"/>
            <color indexed="81"/>
            <rFont val="Tahoma"/>
            <charset val="1"/>
          </rPr>
          <t>Syed Abdul Talib:</t>
        </r>
        <r>
          <rPr>
            <sz val="9"/>
            <color indexed="81"/>
            <rFont val="Tahoma"/>
            <charset val="1"/>
          </rPr>
          <t xml:space="preserve">
Ammi ka ₹20,000
₹10,000 - Paid for Stairs</t>
        </r>
      </text>
    </comment>
  </commentList>
</comments>
</file>

<file path=xl/sharedStrings.xml><?xml version="1.0" encoding="utf-8"?>
<sst xmlns="http://schemas.openxmlformats.org/spreadsheetml/2006/main" count="113" uniqueCount="86">
  <si>
    <t xml:space="preserve">Name of the Bank </t>
  </si>
  <si>
    <t>Amount in Rs.</t>
  </si>
  <si>
    <t>Saving Bank Account &amp; FD/RD &amp; Mutual Fund</t>
  </si>
  <si>
    <t>Name of the Card</t>
  </si>
  <si>
    <t>HDFC Visa Credit Card</t>
  </si>
  <si>
    <t>ICICI Coral Platinum Visa Credit Card</t>
  </si>
  <si>
    <t>ICICI Coral Platinum Rupay Credit Card</t>
  </si>
  <si>
    <t>Amazon Pay ICICI Visa Credit Card</t>
  </si>
  <si>
    <t>Axis Bank Mastercard Credit Card</t>
  </si>
  <si>
    <t>Total</t>
  </si>
  <si>
    <t>Axio | Amazon Pay Later Credit</t>
  </si>
  <si>
    <t>Axio | Tata Neu Pay Later Credit</t>
  </si>
  <si>
    <t>Total dues of Credit Card</t>
  </si>
  <si>
    <t>HDFC NET BANKING</t>
  </si>
  <si>
    <t>Customer ID</t>
  </si>
  <si>
    <t>Password</t>
  </si>
  <si>
    <t>RBL Bank Mastercard Credit Card</t>
  </si>
  <si>
    <t>Credit Cards &amp; Total Amounts</t>
  </si>
  <si>
    <t>Name of the Card / Pay Later Service</t>
  </si>
  <si>
    <t>RBL Bank MasterCard Credit Card</t>
  </si>
  <si>
    <t>Name of the Pay Later Service</t>
  </si>
  <si>
    <t>Simpl Pay Later</t>
  </si>
  <si>
    <t>Tata Neu Pay Later</t>
  </si>
  <si>
    <t>UNI Pay Credit [Early Salary]</t>
  </si>
  <si>
    <t>Remaining</t>
  </si>
  <si>
    <t>Paid</t>
  </si>
  <si>
    <t>Total dues of Pay Later</t>
  </si>
  <si>
    <t>LazyPay - Pay Later</t>
  </si>
  <si>
    <t>Federal Bank (Fi Money) - 8030</t>
  </si>
  <si>
    <t>ICICI Bank - 1343</t>
  </si>
  <si>
    <t>Federal Bank (Jupiter) - 4881</t>
  </si>
  <si>
    <t>Punjab National Bank - 2134</t>
  </si>
  <si>
    <t>Card Name</t>
  </si>
  <si>
    <t>HDFC Milennia Debit Card</t>
  </si>
  <si>
    <t>Debit Expenses</t>
  </si>
  <si>
    <t>Amount</t>
  </si>
  <si>
    <t>Trans Type</t>
  </si>
  <si>
    <t>Pending</t>
  </si>
  <si>
    <t>Reason</t>
  </si>
  <si>
    <t>Total [Debited]</t>
  </si>
  <si>
    <t>Recovered [Credited]</t>
  </si>
  <si>
    <t>FREO - Scan Now Pay Later</t>
  </si>
  <si>
    <t>Swiggy HDFC Mastercard Credit Card</t>
  </si>
  <si>
    <t>Card Type</t>
  </si>
  <si>
    <t>Expenses</t>
  </si>
  <si>
    <t>Tata Neu HDFC Rupay Credit Card - 1501</t>
  </si>
  <si>
    <t>Remaining Due on Credit Cards/ Pay Later</t>
  </si>
  <si>
    <t>Date</t>
  </si>
  <si>
    <t>Swiggy HDFC Visa Credit Card - 1846</t>
  </si>
  <si>
    <t>Amazon Pay ICICI Credit Card - 4002</t>
  </si>
  <si>
    <t>Closed Card</t>
  </si>
  <si>
    <t>ICICI i-invest App - Investment App</t>
  </si>
  <si>
    <t>Folio ID</t>
  </si>
  <si>
    <t>Kotak Mahindra Bank - 2261</t>
  </si>
  <si>
    <t>Card Type, Date of expenditure and Expenses name</t>
  </si>
  <si>
    <t>Status</t>
  </si>
  <si>
    <t>PAID</t>
  </si>
  <si>
    <t>IndusInd Bank - 77446</t>
  </si>
  <si>
    <t>BILL-NOT-GENERATED</t>
  </si>
  <si>
    <t>RBL Bank Shoprite Mastercard Credit Card</t>
  </si>
  <si>
    <t>Yes Bank (Uni Pay) Credit Card</t>
  </si>
  <si>
    <t>Renewal Pay Date</t>
  </si>
  <si>
    <t>Paytm HDFC Visa Card</t>
  </si>
  <si>
    <t>09 Feburary 2026</t>
  </si>
  <si>
    <t>Provident Fund (With Infosys)</t>
  </si>
  <si>
    <t>Total (With Provident Fund)</t>
  </si>
  <si>
    <t>Total (Without Provident Fund)</t>
  </si>
  <si>
    <t>Payment Date</t>
  </si>
  <si>
    <t>Source</t>
  </si>
  <si>
    <t>Pay Later Services and their Balances</t>
  </si>
  <si>
    <t>Credit Card Dues / Details of payments</t>
  </si>
  <si>
    <t>RD Statement</t>
  </si>
  <si>
    <t>Month</t>
  </si>
  <si>
    <t>Stock SIP Mutual Fund Statement</t>
  </si>
  <si>
    <t>ICICI Bank (FD) - 5893 - [23-12-24 to 23-10-26]</t>
  </si>
  <si>
    <t>ICICI Bank (FD) - 0802 - [07-05-25 to 07-08-26]</t>
  </si>
  <si>
    <t>Profit</t>
  </si>
  <si>
    <t>Roar Bank Credit Card</t>
  </si>
  <si>
    <t>INVESTMENT, SIP, RD, FD ETC.</t>
  </si>
  <si>
    <t>Cashbacks ₹₹₹</t>
  </si>
  <si>
    <t>October 2025 - Money Management and Assets</t>
  </si>
  <si>
    <t>Rominus Pizza (Sigra) - For Myself</t>
  </si>
  <si>
    <t>Flight Ticket for Dubai</t>
  </si>
  <si>
    <t>TalhaRano0409@</t>
  </si>
  <si>
    <t>0909@Talha23@</t>
  </si>
  <si>
    <t>Rominus Pizza (Sigra) - For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</si>
</sst>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₹&quot;\ #,##0.00"/>
    <numFmt numFmtId="165" formatCode="[$-F800]dddd\,\ mmmm\ dd\,\ yyyy"/>
  </numFmts>
  <fonts count="25" x14ac:knownFonts="1">
    <font>
      <sz val="11"/>
      <color theme="1"/>
      <name val="Calibri"/>
      <family val="2"/>
      <scheme val="minor"/>
    </font>
    <font>
      <b/>
      <sz val="36"/>
      <color theme="0"/>
      <name val="Bahnschrift"/>
      <family val="2"/>
    </font>
    <font>
      <sz val="11"/>
      <color theme="1"/>
      <name val="Bahnschrift"/>
      <family val="2"/>
    </font>
    <font>
      <b/>
      <sz val="11"/>
      <color theme="0"/>
      <name val="Bahnschrift"/>
      <family val="2"/>
    </font>
    <font>
      <sz val="18"/>
      <color theme="0"/>
      <name val="Bahnschrift"/>
      <family val="2"/>
    </font>
    <font>
      <b/>
      <sz val="11"/>
      <color theme="1"/>
      <name val="Bahnschrift"/>
      <family val="2"/>
    </font>
    <font>
      <b/>
      <sz val="11"/>
      <color rgb="FFFF0000"/>
      <name val="Bahnschrift"/>
      <family val="2"/>
    </font>
    <font>
      <sz val="11"/>
      <color theme="0"/>
      <name val="Bahnschrift"/>
      <family val="2"/>
    </font>
    <font>
      <b/>
      <sz val="11"/>
      <color rgb="FF00B050"/>
      <name val="Bahnschrift"/>
      <family val="2"/>
    </font>
    <font>
      <sz val="12"/>
      <color theme="0"/>
      <name val="Bahnschrift"/>
      <family val="2"/>
    </font>
    <font>
      <b/>
      <sz val="11"/>
      <name val="Bahnschrift"/>
      <family val="2"/>
    </font>
    <font>
      <b/>
      <sz val="12"/>
      <color theme="0"/>
      <name val="Bahnschrift"/>
      <family val="2"/>
    </font>
    <font>
      <u/>
      <sz val="11"/>
      <color theme="10"/>
      <name val="Calibri"/>
      <family val="2"/>
      <scheme val="minor"/>
    </font>
    <font>
      <b/>
      <sz val="17"/>
      <color theme="0"/>
      <name val="Bahnschrift"/>
      <family val="2"/>
    </font>
    <font>
      <sz val="11"/>
      <name val="Bahnschrift"/>
      <family val="2"/>
    </font>
    <font>
      <b/>
      <sz val="18"/>
      <color theme="0"/>
      <name val="Bahnschrift"/>
      <family val="2"/>
    </font>
    <font>
      <b/>
      <sz val="17"/>
      <color theme="1"/>
      <name val="Bahnschrift"/>
      <family val="2"/>
    </font>
    <font>
      <b/>
      <sz val="16"/>
      <color theme="1"/>
      <name val="Bahnschrift"/>
      <family val="2"/>
    </font>
    <font>
      <b/>
      <sz val="15"/>
      <color theme="1"/>
      <name val="Bahnschrift"/>
      <family val="2"/>
    </font>
    <font>
      <b/>
      <sz val="20"/>
      <color theme="1"/>
      <name val="Bahnschrift"/>
      <family val="2"/>
    </font>
    <font>
      <b/>
      <sz val="11"/>
      <color rgb="FF0DA346"/>
      <name val="Bahnschrift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24"/>
      <color rgb="FFFFFF00"/>
      <name val="Bahnschrift"/>
      <family val="2"/>
    </font>
    <font>
      <b/>
      <sz val="12"/>
      <color theme="1"/>
      <name val="Bahnschrift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82323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25A40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DA3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theme="7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88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3" fillId="6" borderId="11" xfId="0" applyFont="1" applyFill="1" applyBorder="1"/>
    <xf numFmtId="0" fontId="3" fillId="6" borderId="1" xfId="0" applyFont="1" applyFill="1" applyBorder="1"/>
    <xf numFmtId="164" fontId="5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2" fillId="0" borderId="1" xfId="0" applyFont="1" applyBorder="1"/>
    <xf numFmtId="0" fontId="3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44" fontId="2" fillId="0" borderId="0" xfId="0" applyNumberFormat="1" applyFont="1" applyAlignment="1">
      <alignment horizontal="center"/>
    </xf>
    <xf numFmtId="0" fontId="12" fillId="0" borderId="0" xfId="1" applyAlignment="1">
      <alignment horizontal="center"/>
    </xf>
    <xf numFmtId="15" fontId="8" fillId="0" borderId="1" xfId="0" applyNumberFormat="1" applyFont="1" applyBorder="1" applyAlignment="1">
      <alignment horizontal="center" vertical="center"/>
    </xf>
    <xf numFmtId="0" fontId="1" fillId="16" borderId="0" xfId="0" applyFont="1" applyFill="1" applyAlignment="1">
      <alignment horizontal="left" vertical="center"/>
    </xf>
    <xf numFmtId="0" fontId="1" fillId="16" borderId="0" xfId="0" applyFont="1" applyFill="1" applyAlignment="1">
      <alignment horizontal="center" vertical="center"/>
    </xf>
    <xf numFmtId="0" fontId="1" fillId="16" borderId="22" xfId="0" applyFont="1" applyFill="1" applyBorder="1" applyAlignment="1">
      <alignment horizontal="left" vertical="center"/>
    </xf>
    <xf numFmtId="0" fontId="23" fillId="16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12" fillId="0" borderId="1" xfId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6" fillId="17" borderId="13" xfId="0" applyFont="1" applyFill="1" applyBorder="1" applyAlignment="1">
      <alignment horizontal="center" vertical="center"/>
    </xf>
    <xf numFmtId="0" fontId="16" fillId="17" borderId="14" xfId="0" applyFont="1" applyFill="1" applyBorder="1" applyAlignment="1">
      <alignment horizontal="center" vertical="center"/>
    </xf>
    <xf numFmtId="0" fontId="16" fillId="17" borderId="15" xfId="0" applyFont="1" applyFill="1" applyBorder="1" applyAlignment="1">
      <alignment horizontal="center" vertical="center"/>
    </xf>
    <xf numFmtId="0" fontId="16" fillId="17" borderId="23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center" vertical="center"/>
    </xf>
    <xf numFmtId="0" fontId="16" fillId="17" borderId="24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44" fontId="2" fillId="0" borderId="0" xfId="0" applyNumberFormat="1" applyFont="1" applyAlignment="1">
      <alignment horizontal="center"/>
    </xf>
    <xf numFmtId="0" fontId="19" fillId="1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0" fontId="12" fillId="0" borderId="1" xfId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11" xfId="0" applyFont="1" applyBorder="1" applyAlignment="1">
      <alignment horizontal="center"/>
    </xf>
    <xf numFmtId="165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right"/>
    </xf>
    <xf numFmtId="0" fontId="2" fillId="0" borderId="9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64" fontId="2" fillId="0" borderId="2" xfId="0" applyNumberFormat="1" applyFont="1" applyBorder="1" applyAlignment="1">
      <alignment horizontal="right"/>
    </xf>
    <xf numFmtId="164" fontId="2" fillId="0" borderId="12" xfId="0" applyNumberFormat="1" applyFont="1" applyBorder="1" applyAlignment="1">
      <alignment horizontal="right"/>
    </xf>
    <xf numFmtId="165" fontId="2" fillId="0" borderId="2" xfId="0" applyNumberFormat="1" applyFont="1" applyBorder="1" applyAlignment="1">
      <alignment horizontal="left"/>
    </xf>
    <xf numFmtId="165" fontId="2" fillId="0" borderId="3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left"/>
    </xf>
    <xf numFmtId="164" fontId="2" fillId="0" borderId="4" xfId="0" applyNumberFormat="1" applyFont="1" applyBorder="1" applyAlignment="1">
      <alignment horizontal="right"/>
    </xf>
    <xf numFmtId="0" fontId="7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7" fillId="15" borderId="1" xfId="0" applyFont="1" applyFill="1" applyBorder="1" applyAlignment="1">
      <alignment horizontal="left"/>
    </xf>
    <xf numFmtId="14" fontId="7" fillId="15" borderId="1" xfId="0" applyNumberFormat="1" applyFont="1" applyFill="1" applyBorder="1" applyAlignment="1">
      <alignment horizontal="right"/>
    </xf>
    <xf numFmtId="0" fontId="7" fillId="15" borderId="1" xfId="0" applyFont="1" applyFill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0" fontId="3" fillId="4" borderId="9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164" fontId="3" fillId="4" borderId="2" xfId="0" applyNumberFormat="1" applyFont="1" applyFill="1" applyBorder="1" applyAlignment="1">
      <alignment horizontal="right"/>
    </xf>
    <xf numFmtId="164" fontId="3" fillId="4" borderId="12" xfId="0" applyNumberFormat="1" applyFont="1" applyFill="1" applyBorder="1" applyAlignment="1">
      <alignment horizontal="right"/>
    </xf>
    <xf numFmtId="164" fontId="14" fillId="0" borderId="1" xfId="0" applyNumberFormat="1" applyFont="1" applyBorder="1" applyAlignment="1">
      <alignment horizontal="center"/>
    </xf>
    <xf numFmtId="0" fontId="15" fillId="7" borderId="21" xfId="0" applyFont="1" applyFill="1" applyBorder="1" applyAlignment="1">
      <alignment horizontal="center" vertical="center"/>
    </xf>
    <xf numFmtId="0" fontId="15" fillId="7" borderId="26" xfId="0" applyFont="1" applyFill="1" applyBorder="1" applyAlignment="1">
      <alignment horizontal="center" vertical="center"/>
    </xf>
    <xf numFmtId="0" fontId="15" fillId="7" borderId="31" xfId="0" applyFont="1" applyFill="1" applyBorder="1" applyAlignment="1">
      <alignment horizontal="center" vertical="center"/>
    </xf>
    <xf numFmtId="0" fontId="15" fillId="7" borderId="22" xfId="0" applyFont="1" applyFill="1" applyBorder="1" applyAlignment="1">
      <alignment horizontal="center" vertical="center"/>
    </xf>
    <xf numFmtId="0" fontId="15" fillId="7" borderId="27" xfId="0" applyFont="1" applyFill="1" applyBorder="1" applyAlignment="1">
      <alignment horizontal="center" vertical="center"/>
    </xf>
    <xf numFmtId="0" fontId="15" fillId="7" borderId="28" xfId="0" applyFont="1" applyFill="1" applyBorder="1" applyAlignment="1">
      <alignment horizontal="center" vertical="center"/>
    </xf>
    <xf numFmtId="0" fontId="15" fillId="7" borderId="29" xfId="0" applyFont="1" applyFill="1" applyBorder="1" applyAlignment="1">
      <alignment horizontal="center" vertical="center"/>
    </xf>
    <xf numFmtId="0" fontId="15" fillId="7" borderId="32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3" fillId="14" borderId="16" xfId="0" applyFont="1" applyFill="1" applyBorder="1" applyAlignment="1">
      <alignment horizontal="left"/>
    </xf>
    <xf numFmtId="0" fontId="3" fillId="14" borderId="17" xfId="0" applyFont="1" applyFill="1" applyBorder="1" applyAlignment="1">
      <alignment horizontal="left"/>
    </xf>
    <xf numFmtId="0" fontId="3" fillId="14" borderId="18" xfId="0" applyFont="1" applyFill="1" applyBorder="1" applyAlignment="1">
      <alignment horizontal="left"/>
    </xf>
    <xf numFmtId="164" fontId="3" fillId="14" borderId="19" xfId="0" applyNumberFormat="1" applyFont="1" applyFill="1" applyBorder="1" applyAlignment="1">
      <alignment horizontal="right"/>
    </xf>
    <xf numFmtId="164" fontId="3" fillId="14" borderId="20" xfId="0" applyNumberFormat="1" applyFont="1" applyFill="1" applyBorder="1" applyAlignment="1">
      <alignment horizontal="right"/>
    </xf>
    <xf numFmtId="164" fontId="6" fillId="0" borderId="1" xfId="0" applyNumberFormat="1" applyFont="1" applyBorder="1" applyAlignment="1">
      <alignment horizontal="center"/>
    </xf>
    <xf numFmtId="0" fontId="18" fillId="17" borderId="13" xfId="0" applyFont="1" applyFill="1" applyBorder="1" applyAlignment="1">
      <alignment horizontal="center" vertical="center"/>
    </xf>
    <xf numFmtId="0" fontId="18" fillId="17" borderId="14" xfId="0" applyFont="1" applyFill="1" applyBorder="1" applyAlignment="1">
      <alignment horizontal="center" vertical="center"/>
    </xf>
    <xf numFmtId="0" fontId="18" fillId="17" borderId="15" xfId="0" applyFont="1" applyFill="1" applyBorder="1" applyAlignment="1">
      <alignment horizontal="center" vertical="center"/>
    </xf>
    <xf numFmtId="0" fontId="18" fillId="17" borderId="23" xfId="0" applyFont="1" applyFill="1" applyBorder="1" applyAlignment="1">
      <alignment horizontal="center" vertical="center"/>
    </xf>
    <xf numFmtId="0" fontId="18" fillId="17" borderId="5" xfId="0" applyFont="1" applyFill="1" applyBorder="1" applyAlignment="1">
      <alignment horizontal="center" vertical="center"/>
    </xf>
    <xf numFmtId="0" fontId="18" fillId="17" borderId="24" xfId="0" applyFont="1" applyFill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/>
    </xf>
    <xf numFmtId="0" fontId="2" fillId="0" borderId="9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164" fontId="8" fillId="0" borderId="1" xfId="0" applyNumberFormat="1" applyFont="1" applyBorder="1" applyAlignment="1">
      <alignment horizontal="center"/>
    </xf>
    <xf numFmtId="0" fontId="2" fillId="12" borderId="3" xfId="0" applyFont="1" applyFill="1" applyBorder="1" applyAlignment="1">
      <alignment horizontal="left"/>
    </xf>
    <xf numFmtId="164" fontId="2" fillId="12" borderId="2" xfId="0" applyNumberFormat="1" applyFont="1" applyFill="1" applyBorder="1" applyAlignment="1">
      <alignment horizontal="right"/>
    </xf>
    <xf numFmtId="164" fontId="2" fillId="12" borderId="4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left"/>
    </xf>
    <xf numFmtId="164" fontId="17" fillId="0" borderId="1" xfId="0" applyNumberFormat="1" applyFont="1" applyBorder="1" applyAlignment="1">
      <alignment horizontal="right"/>
    </xf>
    <xf numFmtId="0" fontId="17" fillId="0" borderId="1" xfId="0" applyFont="1" applyBorder="1" applyAlignment="1">
      <alignment horizontal="right"/>
    </xf>
    <xf numFmtId="0" fontId="2" fillId="0" borderId="9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right" vertical="center"/>
    </xf>
    <xf numFmtId="164" fontId="2" fillId="0" borderId="12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center"/>
    </xf>
    <xf numFmtId="0" fontId="13" fillId="13" borderId="13" xfId="0" applyFont="1" applyFill="1" applyBorder="1" applyAlignment="1">
      <alignment horizontal="center" vertical="center"/>
    </xf>
    <xf numFmtId="0" fontId="13" fillId="13" borderId="14" xfId="0" applyFont="1" applyFill="1" applyBorder="1" applyAlignment="1">
      <alignment horizontal="center" vertical="center"/>
    </xf>
    <xf numFmtId="0" fontId="13" fillId="13" borderId="15" xfId="0" applyFont="1" applyFill="1" applyBorder="1" applyAlignment="1">
      <alignment horizontal="center" vertical="center"/>
    </xf>
    <xf numFmtId="0" fontId="13" fillId="13" borderId="23" xfId="0" applyFont="1" applyFill="1" applyBorder="1" applyAlignment="1">
      <alignment horizontal="center" vertical="center"/>
    </xf>
    <xf numFmtId="0" fontId="13" fillId="13" borderId="5" xfId="0" applyFont="1" applyFill="1" applyBorder="1" applyAlignment="1">
      <alignment horizontal="center" vertical="center"/>
    </xf>
    <xf numFmtId="0" fontId="13" fillId="13" borderId="2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3" fillId="7" borderId="16" xfId="0" applyFont="1" applyFill="1" applyBorder="1" applyAlignment="1">
      <alignment horizontal="left"/>
    </xf>
    <xf numFmtId="0" fontId="3" fillId="7" borderId="17" xfId="0" applyFont="1" applyFill="1" applyBorder="1" applyAlignment="1">
      <alignment horizontal="left"/>
    </xf>
    <xf numFmtId="0" fontId="3" fillId="7" borderId="18" xfId="0" applyFont="1" applyFill="1" applyBorder="1" applyAlignment="1">
      <alignment horizontal="left"/>
    </xf>
    <xf numFmtId="164" fontId="3" fillId="7" borderId="19" xfId="0" applyNumberFormat="1" applyFont="1" applyFill="1" applyBorder="1" applyAlignment="1">
      <alignment horizontal="right"/>
    </xf>
    <xf numFmtId="164" fontId="3" fillId="7" borderId="20" xfId="0" applyNumberFormat="1" applyFont="1" applyFill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16" fillId="17" borderId="21" xfId="0" applyFont="1" applyFill="1" applyBorder="1" applyAlignment="1">
      <alignment horizontal="center" vertical="center"/>
    </xf>
    <xf numFmtId="0" fontId="16" fillId="17" borderId="25" xfId="0" applyFont="1" applyFill="1" applyBorder="1" applyAlignment="1">
      <alignment horizontal="center" vertical="center"/>
    </xf>
    <xf numFmtId="0" fontId="16" fillId="17" borderId="26" xfId="0" applyFont="1" applyFill="1" applyBorder="1" applyAlignment="1">
      <alignment horizontal="center" vertical="center"/>
    </xf>
    <xf numFmtId="0" fontId="16" fillId="17" borderId="27" xfId="0" applyFont="1" applyFill="1" applyBorder="1" applyAlignment="1">
      <alignment horizontal="center" vertical="center"/>
    </xf>
    <xf numFmtId="0" fontId="16" fillId="17" borderId="28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4" fontId="2" fillId="0" borderId="4" xfId="0" applyNumberFormat="1" applyFont="1" applyBorder="1" applyAlignment="1">
      <alignment vertical="center"/>
    </xf>
    <xf numFmtId="0" fontId="24" fillId="0" borderId="1" xfId="0" applyFont="1" applyBorder="1" applyAlignment="1">
      <alignment horizontal="left"/>
    </xf>
    <xf numFmtId="164" fontId="24" fillId="0" borderId="1" xfId="0" applyNumberFormat="1" applyFont="1" applyBorder="1" applyAlignment="1">
      <alignment horizontal="right"/>
    </xf>
    <xf numFmtId="0" fontId="24" fillId="0" borderId="1" xfId="0" applyFont="1" applyBorder="1" applyAlignment="1">
      <alignment horizontal="right"/>
    </xf>
    <xf numFmtId="0" fontId="3" fillId="7" borderId="2" xfId="0" applyFont="1" applyFill="1" applyBorder="1" applyAlignment="1">
      <alignment horizontal="left"/>
    </xf>
    <xf numFmtId="0" fontId="3" fillId="7" borderId="3" xfId="0" applyFont="1" applyFill="1" applyBorder="1" applyAlignment="1">
      <alignment horizontal="left"/>
    </xf>
    <xf numFmtId="0" fontId="3" fillId="7" borderId="4" xfId="0" applyFont="1" applyFill="1" applyBorder="1" applyAlignment="1">
      <alignment horizontal="left"/>
    </xf>
    <xf numFmtId="164" fontId="3" fillId="7" borderId="2" xfId="0" applyNumberFormat="1" applyFont="1" applyFill="1" applyBorder="1" applyAlignment="1">
      <alignment horizontal="right"/>
    </xf>
    <xf numFmtId="164" fontId="3" fillId="7" borderId="4" xfId="0" applyNumberFormat="1" applyFont="1" applyFill="1" applyBorder="1" applyAlignment="1">
      <alignment horizontal="right"/>
    </xf>
    <xf numFmtId="164" fontId="2" fillId="0" borderId="2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7" fillId="17" borderId="21" xfId="0" applyFont="1" applyFill="1" applyBorder="1" applyAlignment="1">
      <alignment horizontal="center" vertical="center"/>
    </xf>
    <xf numFmtId="0" fontId="17" fillId="17" borderId="25" xfId="0" applyFont="1" applyFill="1" applyBorder="1" applyAlignment="1">
      <alignment horizontal="center" vertical="center"/>
    </xf>
    <xf numFmtId="0" fontId="17" fillId="17" borderId="26" xfId="0" applyFont="1" applyFill="1" applyBorder="1" applyAlignment="1">
      <alignment horizontal="center" vertical="center"/>
    </xf>
    <xf numFmtId="0" fontId="17" fillId="17" borderId="27" xfId="0" applyFont="1" applyFill="1" applyBorder="1" applyAlignment="1">
      <alignment horizontal="center" vertical="center"/>
    </xf>
    <xf numFmtId="0" fontId="17" fillId="17" borderId="5" xfId="0" applyFont="1" applyFill="1" applyBorder="1" applyAlignment="1">
      <alignment horizontal="center" vertical="center"/>
    </xf>
    <xf numFmtId="0" fontId="17" fillId="17" borderId="28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right"/>
    </xf>
    <xf numFmtId="164" fontId="2" fillId="2" borderId="4" xfId="0" applyNumberFormat="1" applyFont="1" applyFill="1" applyBorder="1" applyAlignment="1">
      <alignment horizontal="right"/>
    </xf>
    <xf numFmtId="0" fontId="3" fillId="10" borderId="1" xfId="0" applyFont="1" applyFill="1" applyBorder="1" applyAlignment="1">
      <alignment horizontal="left"/>
    </xf>
    <xf numFmtId="164" fontId="10" fillId="0" borderId="1" xfId="0" applyNumberFormat="1" applyFont="1" applyBorder="1" applyAlignment="1">
      <alignment horizontal="center"/>
    </xf>
    <xf numFmtId="0" fontId="3" fillId="11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800080"/>
      </font>
      <fill>
        <patternFill>
          <bgColor rgb="FFBD92DE"/>
        </patternFill>
      </fill>
    </dxf>
    <dxf>
      <fill>
        <patternFill>
          <bgColor rgb="FFFFC7CE"/>
        </patternFill>
      </fill>
    </dxf>
    <dxf>
      <font>
        <color theme="0"/>
      </font>
      <fill>
        <patternFill patternType="gray125">
          <fgColor theme="0"/>
          <bgColor rgb="FF92D050"/>
        </patternFill>
      </fill>
    </dxf>
    <dxf>
      <font>
        <color theme="1"/>
      </font>
      <fill>
        <patternFill patternType="gray0625">
          <fgColor theme="0"/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99"/>
      <color rgb="FF0DA346"/>
      <color rgb="FFC0F8EB"/>
      <color rgb="FF93EDB5"/>
      <color rgb="FF660066"/>
      <color rgb="FFBD92DE"/>
      <color rgb="FF823232"/>
      <color rgb="FF800080"/>
      <color rgb="FF66FF99"/>
      <color rgb="FF25A4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1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bdul Talib" id="{96C24A47-022F-4162-ACD0-ADA959990EBA}" userId="0028f40315c79e1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0909@Talha23@" TargetMode="External"/><Relationship Id="rId1" Type="http://schemas.openxmlformats.org/officeDocument/2006/relationships/hyperlink" Target="mailto:TalhaRano0409@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99FE1-D078-43EC-B82B-4E53EA7F313F}">
  <sheetPr>
    <tabColor rgb="FFFF0000"/>
  </sheetPr>
  <dimension ref="A1:AN73"/>
  <sheetViews>
    <sheetView tabSelected="1" zoomScale="80" zoomScaleNormal="80" workbookViewId="0">
      <selection activeCell="K9" sqref="K9"/>
    </sheetView>
  </sheetViews>
  <sheetFormatPr defaultRowHeight="13.8" x14ac:dyDescent="0.25"/>
  <cols>
    <col min="1" max="2" width="8.88671875" style="1"/>
    <col min="3" max="3" width="29.77734375" style="1" customWidth="1"/>
    <col min="4" max="4" width="8.88671875" style="1"/>
    <col min="5" max="5" width="11.77734375" style="1" customWidth="1"/>
    <col min="6" max="6" width="12.88671875" style="1" customWidth="1"/>
    <col min="7" max="8" width="8.88671875" style="1"/>
    <col min="9" max="9" width="22.5546875" style="1" customWidth="1"/>
    <col min="10" max="10" width="17.109375" style="5" customWidth="1"/>
    <col min="11" max="11" width="40.5546875" style="1" customWidth="1"/>
    <col min="12" max="12" width="8.88671875" style="1"/>
    <col min="13" max="13" width="9.77734375" style="1" customWidth="1"/>
    <col min="14" max="14" width="27.77734375" style="5" customWidth="1"/>
    <col min="15" max="15" width="20.5546875" style="1" customWidth="1"/>
    <col min="16" max="16" width="36" style="5" customWidth="1"/>
    <col min="17" max="18" width="8.88671875" style="1"/>
    <col min="19" max="19" width="21.88671875" style="1" customWidth="1"/>
    <col min="20" max="20" width="8.88671875" style="1" customWidth="1"/>
    <col min="21" max="21" width="10.44140625" style="1" customWidth="1"/>
    <col min="22" max="22" width="12" style="1" customWidth="1"/>
    <col min="23" max="23" width="15.5546875" style="1" customWidth="1"/>
    <col min="24" max="24" width="17.6640625" style="1" customWidth="1"/>
    <col min="25" max="25" width="17.21875" style="1" customWidth="1"/>
    <col min="26" max="26" width="8.88671875" style="1"/>
    <col min="27" max="27" width="7.109375" style="1" customWidth="1"/>
    <col min="28" max="28" width="14.88671875" style="1" customWidth="1"/>
    <col min="29" max="30" width="8.88671875" style="1"/>
    <col min="31" max="31" width="31.88671875" style="1" customWidth="1"/>
    <col min="32" max="32" width="8.88671875" style="1" customWidth="1"/>
    <col min="33" max="34" width="8.88671875" style="1"/>
    <col min="35" max="35" width="16.6640625" style="1" customWidth="1"/>
    <col min="36" max="36" width="20.109375" style="1" customWidth="1"/>
    <col min="37" max="16384" width="8.88671875" style="1"/>
  </cols>
  <sheetData>
    <row r="1" spans="1:40" ht="14.4" customHeight="1" x14ac:dyDescent="0.25">
      <c r="A1" s="28" t="s">
        <v>80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9"/>
      <c r="O1" s="28"/>
      <c r="P1" s="30"/>
      <c r="R1" s="31" t="s">
        <v>78</v>
      </c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E1" s="32" t="s">
        <v>13</v>
      </c>
      <c r="AF1" s="32"/>
      <c r="AG1" s="32"/>
      <c r="AH1" s="32"/>
      <c r="AJ1" s="33" t="s">
        <v>51</v>
      </c>
      <c r="AK1" s="34"/>
      <c r="AL1" s="34"/>
      <c r="AM1" s="34"/>
      <c r="AN1" s="35"/>
    </row>
    <row r="2" spans="1:40" ht="14.4" customHeight="1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9"/>
      <c r="O2" s="28"/>
      <c r="P2" s="30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2"/>
      <c r="AE2" s="32"/>
      <c r="AF2" s="32"/>
      <c r="AG2" s="32"/>
      <c r="AH2" s="32"/>
      <c r="AJ2" s="36"/>
      <c r="AK2" s="37"/>
      <c r="AL2" s="37"/>
      <c r="AM2" s="37"/>
      <c r="AN2" s="38"/>
    </row>
    <row r="3" spans="1:40" ht="23.4" customHeight="1" thickBot="1" x14ac:dyDescent="0.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9"/>
      <c r="O3" s="28"/>
      <c r="P3" s="30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2"/>
      <c r="AE3" s="39" t="s">
        <v>14</v>
      </c>
      <c r="AF3" s="39"/>
      <c r="AG3" s="40" t="s">
        <v>15</v>
      </c>
      <c r="AH3" s="41"/>
      <c r="AJ3" s="42" t="s">
        <v>14</v>
      </c>
      <c r="AK3" s="43"/>
      <c r="AL3" s="43" t="s">
        <v>15</v>
      </c>
      <c r="AM3" s="43"/>
      <c r="AN3" s="44"/>
    </row>
    <row r="4" spans="1:40" ht="14.4" customHeight="1" thickBot="1" x14ac:dyDescent="0.35">
      <c r="A4" s="48" t="s">
        <v>2</v>
      </c>
      <c r="B4" s="49"/>
      <c r="C4" s="49"/>
      <c r="D4" s="49"/>
      <c r="E4" s="50"/>
      <c r="G4" s="66" t="s">
        <v>70</v>
      </c>
      <c r="H4" s="66"/>
      <c r="I4" s="66"/>
      <c r="J4" s="66"/>
      <c r="K4" s="66"/>
      <c r="L4" s="66"/>
      <c r="M4" s="66"/>
      <c r="N4" s="66"/>
      <c r="O4" s="66"/>
      <c r="P4" s="66"/>
      <c r="AB4" s="67"/>
      <c r="AC4" s="67"/>
      <c r="AD4" s="12"/>
      <c r="AE4" s="68">
        <v>257104141</v>
      </c>
      <c r="AF4" s="68"/>
      <c r="AG4" s="69" t="s">
        <v>83</v>
      </c>
      <c r="AH4" s="70"/>
      <c r="AJ4" s="71">
        <v>7518044554</v>
      </c>
      <c r="AK4" s="46"/>
      <c r="AL4" s="45" t="s">
        <v>84</v>
      </c>
      <c r="AM4" s="46"/>
      <c r="AN4" s="47"/>
    </row>
    <row r="5" spans="1:40" ht="15" customHeight="1" thickBot="1" x14ac:dyDescent="0.35">
      <c r="A5" s="51"/>
      <c r="B5" s="52"/>
      <c r="C5" s="52"/>
      <c r="D5" s="52"/>
      <c r="E5" s="53"/>
      <c r="G5" s="66"/>
      <c r="H5" s="66"/>
      <c r="I5" s="66"/>
      <c r="J5" s="66"/>
      <c r="K5" s="66"/>
      <c r="L5" s="66"/>
      <c r="M5" s="66"/>
      <c r="N5" s="66"/>
      <c r="O5" s="66"/>
      <c r="P5" s="66"/>
      <c r="R5" s="48" t="s">
        <v>71</v>
      </c>
      <c r="S5" s="49"/>
      <c r="T5" s="49"/>
      <c r="U5" s="49"/>
      <c r="V5" s="50"/>
      <c r="X5" s="48" t="s">
        <v>73</v>
      </c>
      <c r="Y5" s="49"/>
      <c r="Z5" s="49"/>
      <c r="AA5" s="49"/>
      <c r="AB5" s="50"/>
      <c r="AC5" s="12"/>
      <c r="AD5" s="26"/>
      <c r="AJ5" s="54" t="s">
        <v>52</v>
      </c>
      <c r="AK5" s="55"/>
      <c r="AL5" s="56">
        <v>956626645</v>
      </c>
      <c r="AM5" s="57"/>
      <c r="AN5" s="58"/>
    </row>
    <row r="6" spans="1:40" ht="15" customHeight="1" x14ac:dyDescent="0.25">
      <c r="A6" s="59" t="s">
        <v>0</v>
      </c>
      <c r="B6" s="60"/>
      <c r="C6" s="61"/>
      <c r="D6" s="62" t="s">
        <v>1</v>
      </c>
      <c r="E6" s="63"/>
      <c r="G6" s="64" t="s">
        <v>54</v>
      </c>
      <c r="H6" s="64"/>
      <c r="I6" s="64"/>
      <c r="J6" s="64"/>
      <c r="K6" s="64"/>
      <c r="L6" s="39" t="s">
        <v>1</v>
      </c>
      <c r="M6" s="39"/>
      <c r="N6" s="15"/>
      <c r="O6" s="15"/>
      <c r="P6" s="15"/>
      <c r="R6" s="51"/>
      <c r="S6" s="52"/>
      <c r="T6" s="52"/>
      <c r="U6" s="52"/>
      <c r="V6" s="53"/>
      <c r="X6" s="51"/>
      <c r="Y6" s="52"/>
      <c r="Z6" s="52"/>
      <c r="AA6" s="52"/>
      <c r="AB6" s="53"/>
      <c r="AC6" s="12"/>
      <c r="AD6" s="25"/>
      <c r="AM6" s="65"/>
      <c r="AN6" s="65"/>
    </row>
    <row r="7" spans="1:40" ht="14.4" customHeight="1" x14ac:dyDescent="0.25">
      <c r="A7" s="76" t="s">
        <v>29</v>
      </c>
      <c r="B7" s="77"/>
      <c r="C7" s="78"/>
      <c r="D7" s="79">
        <v>5000000</v>
      </c>
      <c r="E7" s="80"/>
      <c r="F7" s="11"/>
      <c r="G7" s="86" t="s">
        <v>43</v>
      </c>
      <c r="H7" s="86"/>
      <c r="I7" s="86"/>
      <c r="J7" s="17" t="s">
        <v>47</v>
      </c>
      <c r="K7" s="17" t="s">
        <v>44</v>
      </c>
      <c r="L7" s="87" t="s">
        <v>1</v>
      </c>
      <c r="M7" s="87"/>
      <c r="N7" s="17" t="s">
        <v>68</v>
      </c>
      <c r="O7" s="17" t="s">
        <v>67</v>
      </c>
      <c r="P7" s="17" t="s">
        <v>55</v>
      </c>
      <c r="R7" s="59" t="s">
        <v>72</v>
      </c>
      <c r="S7" s="60"/>
      <c r="T7" s="61"/>
      <c r="U7" s="62" t="s">
        <v>1</v>
      </c>
      <c r="V7" s="63"/>
      <c r="X7" s="59" t="s">
        <v>72</v>
      </c>
      <c r="Y7" s="60"/>
      <c r="Z7" s="61"/>
      <c r="AA7" s="62" t="s">
        <v>1</v>
      </c>
      <c r="AB7" s="63"/>
      <c r="AD7" s="25"/>
      <c r="AE7" s="85" t="s">
        <v>32</v>
      </c>
      <c r="AF7" s="85"/>
      <c r="AG7" s="85" t="s">
        <v>61</v>
      </c>
      <c r="AH7" s="85"/>
    </row>
    <row r="8" spans="1:40" ht="14.4" customHeight="1" x14ac:dyDescent="0.25">
      <c r="A8" s="76" t="s">
        <v>57</v>
      </c>
      <c r="B8" s="77"/>
      <c r="C8" s="78"/>
      <c r="D8" s="79">
        <v>90000000</v>
      </c>
      <c r="E8" s="80"/>
      <c r="F8" s="11"/>
      <c r="G8" s="74" t="s">
        <v>42</v>
      </c>
      <c r="H8" s="74"/>
      <c r="I8" s="74"/>
      <c r="J8" s="6">
        <v>45984</v>
      </c>
      <c r="K8" s="3" t="s">
        <v>85</v>
      </c>
      <c r="L8" s="92">
        <v>626</v>
      </c>
      <c r="M8" s="92"/>
      <c r="N8" s="22"/>
      <c r="O8" s="21"/>
      <c r="P8" s="19" t="s">
        <v>56</v>
      </c>
      <c r="R8" s="81">
        <v>45777</v>
      </c>
      <c r="S8" s="82"/>
      <c r="T8" s="83"/>
      <c r="U8" s="79">
        <v>10000</v>
      </c>
      <c r="V8" s="84"/>
      <c r="X8" s="72">
        <v>45777</v>
      </c>
      <c r="Y8" s="72"/>
      <c r="Z8" s="72"/>
      <c r="AA8" s="73"/>
      <c r="AB8" s="73"/>
      <c r="AD8" s="12"/>
      <c r="AE8" s="74" t="s">
        <v>33</v>
      </c>
      <c r="AF8" s="74"/>
      <c r="AG8" s="75" t="s">
        <v>50</v>
      </c>
      <c r="AH8" s="75"/>
    </row>
    <row r="9" spans="1:40" ht="14.4" customHeight="1" x14ac:dyDescent="0.25">
      <c r="A9" s="76" t="s">
        <v>53</v>
      </c>
      <c r="B9" s="77"/>
      <c r="C9" s="78"/>
      <c r="D9" s="79">
        <v>75000000</v>
      </c>
      <c r="E9" s="80"/>
      <c r="F9" s="11"/>
      <c r="G9" s="74" t="s">
        <v>42</v>
      </c>
      <c r="H9" s="74"/>
      <c r="I9" s="74"/>
      <c r="J9" s="6">
        <v>45984</v>
      </c>
      <c r="K9" s="3" t="s">
        <v>81</v>
      </c>
      <c r="L9" s="92">
        <v>283</v>
      </c>
      <c r="M9" s="92"/>
      <c r="N9" s="22"/>
      <c r="O9" s="21"/>
      <c r="P9" s="19" t="s">
        <v>58</v>
      </c>
      <c r="R9" s="81">
        <v>45838</v>
      </c>
      <c r="S9" s="82"/>
      <c r="T9" s="83"/>
      <c r="U9" s="79">
        <v>10000</v>
      </c>
      <c r="V9" s="84"/>
      <c r="X9" s="72">
        <v>45838</v>
      </c>
      <c r="Y9" s="72"/>
      <c r="Z9" s="72"/>
      <c r="AA9" s="73"/>
      <c r="AB9" s="73"/>
      <c r="AD9" s="12"/>
      <c r="AE9" s="89" t="s">
        <v>62</v>
      </c>
      <c r="AF9" s="89"/>
      <c r="AG9" s="90" t="s">
        <v>63</v>
      </c>
      <c r="AH9" s="91"/>
    </row>
    <row r="10" spans="1:40" ht="14.4" customHeight="1" x14ac:dyDescent="0.25">
      <c r="A10" s="76" t="s">
        <v>28</v>
      </c>
      <c r="B10" s="77"/>
      <c r="C10" s="78"/>
      <c r="D10" s="79">
        <v>1500000000</v>
      </c>
      <c r="E10" s="80"/>
      <c r="F10" s="11"/>
      <c r="G10" s="74" t="s">
        <v>4</v>
      </c>
      <c r="H10" s="74"/>
      <c r="I10" s="74"/>
      <c r="J10" s="6">
        <v>45986</v>
      </c>
      <c r="K10" s="3" t="s">
        <v>82</v>
      </c>
      <c r="L10" s="92">
        <v>950000</v>
      </c>
      <c r="M10" s="92"/>
      <c r="N10" s="22"/>
      <c r="O10" s="21"/>
      <c r="P10" s="19" t="s">
        <v>58</v>
      </c>
      <c r="R10" s="81">
        <v>45868</v>
      </c>
      <c r="S10" s="82"/>
      <c r="T10" s="83"/>
      <c r="U10" s="79">
        <v>10000</v>
      </c>
      <c r="V10" s="84"/>
      <c r="X10" s="72">
        <v>45868</v>
      </c>
      <c r="Y10" s="72"/>
      <c r="Z10" s="72"/>
      <c r="AA10" s="79"/>
      <c r="AB10" s="84"/>
      <c r="AD10" s="12"/>
      <c r="AE10" s="88"/>
      <c r="AF10" s="88"/>
      <c r="AG10" s="75"/>
      <c r="AH10" s="75"/>
    </row>
    <row r="11" spans="1:40" ht="15" customHeight="1" x14ac:dyDescent="0.25">
      <c r="A11" s="76" t="s">
        <v>30</v>
      </c>
      <c r="B11" s="77"/>
      <c r="C11" s="78"/>
      <c r="D11" s="79">
        <v>9520000000</v>
      </c>
      <c r="E11" s="80"/>
      <c r="F11" s="11"/>
      <c r="G11" s="74"/>
      <c r="H11" s="74"/>
      <c r="I11" s="74"/>
      <c r="J11" s="6"/>
      <c r="K11" s="3"/>
      <c r="L11" s="92"/>
      <c r="M11" s="92"/>
      <c r="N11" s="22"/>
      <c r="O11" s="21"/>
      <c r="P11" s="19"/>
      <c r="R11" s="81">
        <v>45899</v>
      </c>
      <c r="S11" s="82"/>
      <c r="T11" s="83"/>
      <c r="U11" s="79">
        <v>10000</v>
      </c>
      <c r="V11" s="84"/>
      <c r="X11" s="72">
        <v>45899</v>
      </c>
      <c r="Y11" s="72"/>
      <c r="Z11" s="72"/>
      <c r="AA11" s="73"/>
      <c r="AB11" s="73"/>
      <c r="AD11" s="12"/>
      <c r="AE11" s="88"/>
      <c r="AF11" s="88"/>
      <c r="AG11" s="88"/>
      <c r="AH11" s="88"/>
      <c r="AJ11" s="13"/>
      <c r="AK11" s="13"/>
    </row>
    <row r="12" spans="1:40" ht="14.4" customHeight="1" x14ac:dyDescent="0.25">
      <c r="A12" s="8" t="s">
        <v>31</v>
      </c>
      <c r="B12" s="7"/>
      <c r="C12" s="7"/>
      <c r="D12" s="79">
        <v>25000000</v>
      </c>
      <c r="E12" s="80"/>
      <c r="F12" s="11"/>
      <c r="G12" s="74"/>
      <c r="H12" s="74"/>
      <c r="I12" s="74"/>
      <c r="J12" s="6"/>
      <c r="K12" s="3"/>
      <c r="L12" s="92"/>
      <c r="M12" s="92"/>
      <c r="N12" s="22"/>
      <c r="O12" s="21"/>
      <c r="P12" s="19"/>
      <c r="R12" s="81">
        <v>45930</v>
      </c>
      <c r="S12" s="82"/>
      <c r="T12" s="83"/>
      <c r="U12" s="79">
        <v>10000</v>
      </c>
      <c r="V12" s="84"/>
      <c r="X12" s="72">
        <v>45930</v>
      </c>
      <c r="Y12" s="72"/>
      <c r="Z12" s="72"/>
      <c r="AA12" s="79"/>
      <c r="AB12" s="84"/>
      <c r="AD12" s="12"/>
      <c r="AE12" s="88"/>
      <c r="AF12" s="88"/>
      <c r="AG12" s="88"/>
      <c r="AH12" s="88"/>
      <c r="AJ12" s="13"/>
      <c r="AK12" s="13"/>
    </row>
    <row r="13" spans="1:40" ht="14.4" customHeight="1" x14ac:dyDescent="0.25">
      <c r="A13" s="93" t="s">
        <v>74</v>
      </c>
      <c r="B13" s="94"/>
      <c r="C13" s="95"/>
      <c r="D13" s="96">
        <v>950000000</v>
      </c>
      <c r="E13" s="97"/>
      <c r="F13" s="11"/>
      <c r="G13" s="74"/>
      <c r="H13" s="74"/>
      <c r="I13" s="74"/>
      <c r="J13" s="6"/>
      <c r="K13" s="3"/>
      <c r="L13" s="92"/>
      <c r="M13" s="92"/>
      <c r="N13" s="18"/>
      <c r="O13" s="21"/>
      <c r="P13" s="19"/>
      <c r="R13" s="81">
        <v>45960</v>
      </c>
      <c r="S13" s="82"/>
      <c r="T13" s="83"/>
      <c r="U13" s="79">
        <v>10000</v>
      </c>
      <c r="V13" s="84"/>
      <c r="X13" s="72">
        <v>45960</v>
      </c>
      <c r="Y13" s="72"/>
      <c r="Z13" s="72"/>
      <c r="AA13" s="73"/>
      <c r="AB13" s="73"/>
      <c r="AD13" s="12"/>
      <c r="AJ13" s="13"/>
      <c r="AK13" s="13"/>
    </row>
    <row r="14" spans="1:40" ht="14.4" customHeight="1" x14ac:dyDescent="0.25">
      <c r="A14" s="93" t="s">
        <v>75</v>
      </c>
      <c r="B14" s="94"/>
      <c r="C14" s="95"/>
      <c r="D14" s="96">
        <v>65000000000</v>
      </c>
      <c r="E14" s="97"/>
      <c r="F14" s="11"/>
      <c r="G14" s="74"/>
      <c r="H14" s="74"/>
      <c r="I14" s="74"/>
      <c r="J14" s="6"/>
      <c r="K14" s="3"/>
      <c r="L14" s="98"/>
      <c r="M14" s="98"/>
      <c r="N14" s="22"/>
      <c r="O14" s="21"/>
      <c r="P14" s="19"/>
      <c r="R14" s="81">
        <v>45991</v>
      </c>
      <c r="S14" s="82"/>
      <c r="T14" s="83"/>
      <c r="U14" s="79">
        <v>10000</v>
      </c>
      <c r="V14" s="84"/>
      <c r="X14" s="72">
        <v>45991</v>
      </c>
      <c r="Y14" s="72"/>
      <c r="Z14" s="72"/>
      <c r="AA14" s="79"/>
      <c r="AB14" s="84"/>
      <c r="AD14" s="12"/>
      <c r="AE14" s="99" t="s">
        <v>34</v>
      </c>
      <c r="AF14" s="100"/>
      <c r="AG14" s="99" t="s">
        <v>35</v>
      </c>
      <c r="AH14" s="100"/>
      <c r="AI14" s="105" t="s">
        <v>38</v>
      </c>
      <c r="AJ14" s="105" t="s">
        <v>36</v>
      </c>
      <c r="AK14" s="4"/>
    </row>
    <row r="15" spans="1:40" ht="14.4" customHeight="1" x14ac:dyDescent="0.25">
      <c r="A15" s="76" t="s">
        <v>64</v>
      </c>
      <c r="B15" s="77"/>
      <c r="C15" s="78"/>
      <c r="D15" s="79">
        <v>65000000000</v>
      </c>
      <c r="E15" s="80"/>
      <c r="F15" s="11"/>
      <c r="G15" s="74"/>
      <c r="H15" s="74"/>
      <c r="I15" s="74"/>
      <c r="J15" s="6"/>
      <c r="K15" s="3"/>
      <c r="L15" s="92"/>
      <c r="M15" s="92"/>
      <c r="N15" s="22"/>
      <c r="O15" s="21"/>
      <c r="P15" s="19"/>
      <c r="R15" s="81">
        <v>46021</v>
      </c>
      <c r="S15" s="82"/>
      <c r="T15" s="83"/>
      <c r="U15" s="79">
        <v>10000</v>
      </c>
      <c r="V15" s="84"/>
      <c r="X15" s="72">
        <v>46021</v>
      </c>
      <c r="Y15" s="72"/>
      <c r="Z15" s="72"/>
      <c r="AA15" s="73"/>
      <c r="AB15" s="73"/>
      <c r="AD15" s="12"/>
      <c r="AE15" s="101"/>
      <c r="AF15" s="102"/>
      <c r="AG15" s="101"/>
      <c r="AH15" s="102"/>
      <c r="AI15" s="106"/>
      <c r="AJ15" s="106"/>
      <c r="AK15" s="4"/>
    </row>
    <row r="16" spans="1:40" ht="14.4" customHeight="1" thickBot="1" x14ac:dyDescent="0.3">
      <c r="A16" s="108" t="s">
        <v>65</v>
      </c>
      <c r="B16" s="109"/>
      <c r="C16" s="110"/>
      <c r="D16" s="111">
        <f>SUM(D6:E15)</f>
        <v>142165000000</v>
      </c>
      <c r="E16" s="112"/>
      <c r="F16" s="11"/>
      <c r="G16" s="74"/>
      <c r="H16" s="74"/>
      <c r="I16" s="74"/>
      <c r="J16" s="6"/>
      <c r="K16" s="3"/>
      <c r="L16" s="92"/>
      <c r="M16" s="92"/>
      <c r="N16" s="22"/>
      <c r="O16" s="21"/>
      <c r="P16" s="19"/>
      <c r="R16" s="72">
        <v>46052</v>
      </c>
      <c r="S16" s="72"/>
      <c r="T16" s="72"/>
      <c r="U16" s="79">
        <v>10000</v>
      </c>
      <c r="V16" s="84"/>
      <c r="X16" s="72">
        <v>46052</v>
      </c>
      <c r="Y16" s="72"/>
      <c r="Z16" s="72"/>
      <c r="AA16" s="79"/>
      <c r="AB16" s="84"/>
      <c r="AD16" s="12"/>
      <c r="AE16" s="103"/>
      <c r="AF16" s="104"/>
      <c r="AG16" s="103"/>
      <c r="AH16" s="104"/>
      <c r="AI16" s="107"/>
      <c r="AJ16" s="107"/>
      <c r="AK16" s="4"/>
    </row>
    <row r="17" spans="1:40" ht="14.4" customHeight="1" thickBot="1" x14ac:dyDescent="0.3">
      <c r="A17" s="146" t="s">
        <v>66</v>
      </c>
      <c r="B17" s="147"/>
      <c r="C17" s="148"/>
      <c r="D17" s="149">
        <f>SUM(D7:E14)</f>
        <v>77165000000</v>
      </c>
      <c r="E17" s="150"/>
      <c r="F17" s="11"/>
      <c r="G17" s="74"/>
      <c r="H17" s="74"/>
      <c r="I17" s="74"/>
      <c r="J17" s="6"/>
      <c r="K17" s="3"/>
      <c r="L17" s="92"/>
      <c r="M17" s="92"/>
      <c r="N17" s="22"/>
      <c r="O17" s="21"/>
      <c r="P17" s="19"/>
      <c r="R17" s="72">
        <v>46081</v>
      </c>
      <c r="S17" s="72"/>
      <c r="T17" s="72"/>
      <c r="U17" s="73">
        <v>10000</v>
      </c>
      <c r="V17" s="73"/>
      <c r="X17" s="72">
        <v>46081</v>
      </c>
      <c r="Y17" s="72"/>
      <c r="Z17" s="72"/>
      <c r="AA17" s="73"/>
      <c r="AB17" s="73"/>
      <c r="AD17" s="12"/>
      <c r="AE17" s="46"/>
      <c r="AF17" s="46"/>
      <c r="AG17" s="113"/>
      <c r="AH17" s="113"/>
      <c r="AI17" s="3"/>
      <c r="AJ17" s="3"/>
      <c r="AK17" s="5"/>
    </row>
    <row r="18" spans="1:40" ht="14.4" customHeight="1" thickBot="1" x14ac:dyDescent="0.3">
      <c r="G18" s="74"/>
      <c r="H18" s="74"/>
      <c r="I18" s="74"/>
      <c r="J18" s="6"/>
      <c r="K18" s="3"/>
      <c r="L18" s="92"/>
      <c r="M18" s="92"/>
      <c r="N18" s="22"/>
      <c r="O18" s="21"/>
      <c r="P18" s="19"/>
      <c r="R18" s="72">
        <v>46111</v>
      </c>
      <c r="S18" s="72"/>
      <c r="T18" s="72"/>
      <c r="U18" s="79">
        <v>10000</v>
      </c>
      <c r="V18" s="84"/>
      <c r="X18" s="72">
        <v>46111</v>
      </c>
      <c r="Y18" s="72"/>
      <c r="Z18" s="72"/>
      <c r="AA18" s="79"/>
      <c r="AB18" s="84"/>
      <c r="AD18" s="12"/>
      <c r="AE18" s="46"/>
      <c r="AF18" s="46"/>
      <c r="AG18" s="113"/>
      <c r="AH18" s="113"/>
      <c r="AI18" s="3"/>
      <c r="AJ18" s="3"/>
      <c r="AK18" s="5"/>
    </row>
    <row r="19" spans="1:40" x14ac:dyDescent="0.25">
      <c r="A19" s="114" t="s">
        <v>46</v>
      </c>
      <c r="B19" s="115"/>
      <c r="C19" s="115"/>
      <c r="D19" s="115"/>
      <c r="E19" s="116"/>
      <c r="G19" s="74"/>
      <c r="H19" s="74"/>
      <c r="I19" s="74"/>
      <c r="J19" s="6"/>
      <c r="K19" s="3"/>
      <c r="L19" s="92"/>
      <c r="M19" s="92"/>
      <c r="N19" s="22"/>
      <c r="O19" s="21"/>
      <c r="P19" s="19"/>
      <c r="R19" s="72">
        <v>46142</v>
      </c>
      <c r="S19" s="72"/>
      <c r="T19" s="72"/>
      <c r="U19" s="73">
        <v>10000</v>
      </c>
      <c r="V19" s="73"/>
      <c r="X19" s="72">
        <v>46142</v>
      </c>
      <c r="Y19" s="72"/>
      <c r="Z19" s="72"/>
      <c r="AA19" s="73"/>
      <c r="AB19" s="73"/>
      <c r="AD19" s="12"/>
      <c r="AE19" s="46"/>
      <c r="AF19" s="46"/>
      <c r="AG19" s="113"/>
      <c r="AH19" s="113"/>
      <c r="AI19" s="3"/>
      <c r="AJ19" s="3"/>
      <c r="AK19" s="5"/>
    </row>
    <row r="20" spans="1:40" x14ac:dyDescent="0.25">
      <c r="A20" s="117"/>
      <c r="B20" s="118"/>
      <c r="C20" s="118"/>
      <c r="D20" s="118"/>
      <c r="E20" s="119"/>
      <c r="G20" s="74"/>
      <c r="H20" s="74"/>
      <c r="I20" s="74"/>
      <c r="J20" s="6"/>
      <c r="K20" s="3"/>
      <c r="L20" s="92"/>
      <c r="M20" s="92"/>
      <c r="N20" s="22"/>
      <c r="O20" s="21"/>
      <c r="P20" s="19"/>
      <c r="R20" s="72">
        <v>46172</v>
      </c>
      <c r="S20" s="72"/>
      <c r="T20" s="72"/>
      <c r="U20" s="79">
        <v>10000</v>
      </c>
      <c r="V20" s="84"/>
      <c r="X20" s="72">
        <v>46172</v>
      </c>
      <c r="Y20" s="72"/>
      <c r="Z20" s="72"/>
      <c r="AA20" s="79"/>
      <c r="AB20" s="84"/>
      <c r="AD20" s="12"/>
      <c r="AE20" s="46"/>
      <c r="AF20" s="46"/>
      <c r="AG20" s="113"/>
      <c r="AH20" s="113"/>
      <c r="AI20" s="3"/>
      <c r="AJ20" s="3"/>
      <c r="AK20" s="5"/>
    </row>
    <row r="21" spans="1:40" x14ac:dyDescent="0.25">
      <c r="A21" s="9" t="s">
        <v>18</v>
      </c>
      <c r="B21" s="10"/>
      <c r="C21" s="10"/>
      <c r="D21" s="62" t="s">
        <v>1</v>
      </c>
      <c r="E21" s="63"/>
      <c r="G21" s="74"/>
      <c r="H21" s="74"/>
      <c r="I21" s="74"/>
      <c r="J21" s="6"/>
      <c r="K21" s="3"/>
      <c r="L21" s="92"/>
      <c r="M21" s="92"/>
      <c r="N21" s="22"/>
      <c r="O21" s="21"/>
      <c r="P21" s="19"/>
      <c r="R21" s="72">
        <v>46203</v>
      </c>
      <c r="S21" s="72"/>
      <c r="T21" s="72"/>
      <c r="U21" s="73">
        <v>10000</v>
      </c>
      <c r="V21" s="73"/>
      <c r="X21" s="72">
        <v>46203</v>
      </c>
      <c r="Y21" s="72"/>
      <c r="Z21" s="72"/>
      <c r="AA21" s="73"/>
      <c r="AB21" s="73"/>
      <c r="AC21" s="12"/>
      <c r="AD21" s="12"/>
      <c r="AE21" s="46"/>
      <c r="AF21" s="46"/>
      <c r="AG21" s="120"/>
      <c r="AH21" s="120"/>
      <c r="AI21" s="3"/>
      <c r="AJ21" s="3"/>
      <c r="AK21" s="5"/>
      <c r="AM21" s="67"/>
      <c r="AN21" s="67"/>
    </row>
    <row r="22" spans="1:40" x14ac:dyDescent="0.25">
      <c r="A22" s="121" t="s">
        <v>4</v>
      </c>
      <c r="B22" s="122"/>
      <c r="C22" s="123"/>
      <c r="D22" s="79"/>
      <c r="E22" s="80"/>
      <c r="G22" s="74"/>
      <c r="H22" s="74"/>
      <c r="I22" s="74"/>
      <c r="J22" s="6"/>
      <c r="K22" s="16"/>
      <c r="L22" s="92"/>
      <c r="M22" s="92"/>
      <c r="N22" s="14"/>
      <c r="O22" s="21"/>
      <c r="P22" s="19"/>
      <c r="R22" s="72">
        <v>46233</v>
      </c>
      <c r="S22" s="72"/>
      <c r="T22" s="72"/>
      <c r="U22" s="79">
        <v>10000</v>
      </c>
      <c r="V22" s="84"/>
      <c r="X22" s="72">
        <v>46233</v>
      </c>
      <c r="Y22" s="72"/>
      <c r="Z22" s="72"/>
      <c r="AA22" s="79"/>
      <c r="AB22" s="84"/>
      <c r="AD22" s="12"/>
      <c r="AE22" s="46"/>
      <c r="AF22" s="46"/>
      <c r="AG22" s="120"/>
      <c r="AH22" s="120"/>
      <c r="AI22" s="3"/>
      <c r="AJ22" s="3"/>
      <c r="AK22" s="5"/>
    </row>
    <row r="23" spans="1:40" x14ac:dyDescent="0.25">
      <c r="A23" s="121" t="s">
        <v>45</v>
      </c>
      <c r="B23" s="122"/>
      <c r="C23" s="123"/>
      <c r="D23" s="79"/>
      <c r="E23" s="80"/>
      <c r="G23" s="74"/>
      <c r="H23" s="74"/>
      <c r="I23" s="74"/>
      <c r="J23" s="6"/>
      <c r="K23" s="16"/>
      <c r="L23" s="92"/>
      <c r="M23" s="92"/>
      <c r="N23" s="14"/>
      <c r="O23" s="21"/>
      <c r="P23" s="19"/>
      <c r="R23" s="72">
        <v>46264</v>
      </c>
      <c r="S23" s="72"/>
      <c r="T23" s="72"/>
      <c r="U23" s="73">
        <v>10000</v>
      </c>
      <c r="V23" s="73"/>
      <c r="X23" s="72">
        <v>46264</v>
      </c>
      <c r="Y23" s="72"/>
      <c r="Z23" s="72"/>
      <c r="AA23" s="73"/>
      <c r="AB23" s="73"/>
      <c r="AD23" s="12"/>
      <c r="AE23" s="46"/>
      <c r="AF23" s="46"/>
      <c r="AG23" s="120"/>
      <c r="AH23" s="120"/>
      <c r="AI23" s="3"/>
      <c r="AJ23" s="3"/>
      <c r="AK23" s="5"/>
    </row>
    <row r="24" spans="1:40" x14ac:dyDescent="0.25">
      <c r="A24" s="121" t="s">
        <v>5</v>
      </c>
      <c r="B24" s="122"/>
      <c r="C24" s="123"/>
      <c r="D24" s="79"/>
      <c r="E24" s="80"/>
      <c r="G24" s="74"/>
      <c r="H24" s="74"/>
      <c r="I24" s="74"/>
      <c r="J24" s="6"/>
      <c r="K24" s="16"/>
      <c r="L24" s="92"/>
      <c r="M24" s="92"/>
      <c r="N24" s="14"/>
      <c r="O24" s="21"/>
      <c r="P24" s="19"/>
      <c r="R24" s="72">
        <v>46295</v>
      </c>
      <c r="S24" s="72"/>
      <c r="T24" s="72"/>
      <c r="U24" s="79">
        <v>10000</v>
      </c>
      <c r="V24" s="84"/>
      <c r="X24" s="72">
        <v>46295</v>
      </c>
      <c r="Y24" s="72"/>
      <c r="Z24" s="72"/>
      <c r="AA24" s="79"/>
      <c r="AB24" s="84"/>
      <c r="AD24" s="12"/>
      <c r="AE24" s="46"/>
      <c r="AF24" s="46"/>
      <c r="AG24" s="124"/>
      <c r="AH24" s="124"/>
      <c r="AI24" s="3"/>
      <c r="AJ24" s="3"/>
      <c r="AK24" s="5"/>
    </row>
    <row r="25" spans="1:40" x14ac:dyDescent="0.25">
      <c r="A25" s="121" t="s">
        <v>6</v>
      </c>
      <c r="B25" s="122"/>
      <c r="C25" s="123"/>
      <c r="D25" s="79"/>
      <c r="E25" s="80"/>
      <c r="G25" s="74"/>
      <c r="H25" s="74"/>
      <c r="I25" s="74"/>
      <c r="J25" s="6"/>
      <c r="K25" s="3"/>
      <c r="L25" s="92"/>
      <c r="M25" s="92"/>
      <c r="N25" s="18"/>
      <c r="O25" s="21"/>
      <c r="P25" s="19"/>
      <c r="R25" s="125" t="s">
        <v>76</v>
      </c>
      <c r="S25" s="125"/>
      <c r="T25" s="125"/>
      <c r="U25" s="126">
        <v>10025</v>
      </c>
      <c r="V25" s="127"/>
      <c r="X25" s="72">
        <v>46325</v>
      </c>
      <c r="Y25" s="72"/>
      <c r="Z25" s="72"/>
      <c r="AA25" s="79"/>
      <c r="AB25" s="84"/>
      <c r="AD25" s="12"/>
      <c r="AE25" s="46"/>
      <c r="AF25" s="46"/>
      <c r="AG25" s="124"/>
      <c r="AH25" s="124"/>
      <c r="AI25" s="3"/>
      <c r="AJ25" s="3"/>
      <c r="AK25" s="5"/>
    </row>
    <row r="26" spans="1:40" ht="20.399999999999999" x14ac:dyDescent="0.35">
      <c r="A26" s="121" t="s">
        <v>49</v>
      </c>
      <c r="B26" s="122"/>
      <c r="C26" s="123"/>
      <c r="D26" s="79"/>
      <c r="E26" s="80"/>
      <c r="G26" s="128"/>
      <c r="H26" s="128"/>
      <c r="I26" s="128"/>
      <c r="J26" s="6"/>
      <c r="K26" s="3"/>
      <c r="L26" s="129"/>
      <c r="M26" s="129"/>
      <c r="N26" s="18"/>
      <c r="O26" s="21"/>
      <c r="P26" s="19"/>
      <c r="R26" s="130" t="s">
        <v>9</v>
      </c>
      <c r="S26" s="130"/>
      <c r="T26" s="130"/>
      <c r="U26" s="131">
        <f>SUM(U8:U24)+U25</f>
        <v>180025</v>
      </c>
      <c r="V26" s="132"/>
      <c r="X26" s="72">
        <v>46325</v>
      </c>
      <c r="Y26" s="72"/>
      <c r="Z26" s="72"/>
      <c r="AA26" s="131">
        <f>SUM(AA8:AB24)</f>
        <v>0</v>
      </c>
      <c r="AB26" s="132"/>
      <c r="AD26" s="24"/>
      <c r="AE26" s="46"/>
      <c r="AF26" s="46"/>
      <c r="AG26" s="124"/>
      <c r="AH26" s="124"/>
      <c r="AI26" s="3"/>
      <c r="AJ26" s="3"/>
      <c r="AK26" s="5"/>
    </row>
    <row r="27" spans="1:40" ht="14.4" thickBot="1" x14ac:dyDescent="0.3">
      <c r="A27" s="133" t="s">
        <v>8</v>
      </c>
      <c r="B27" s="134"/>
      <c r="C27" s="135"/>
      <c r="D27" s="136"/>
      <c r="E27" s="137"/>
      <c r="G27" s="74"/>
      <c r="H27" s="74"/>
      <c r="I27" s="74"/>
      <c r="J27" s="6"/>
      <c r="K27" s="3"/>
      <c r="L27" s="92"/>
      <c r="M27" s="92"/>
      <c r="N27" s="18"/>
      <c r="O27" s="21"/>
      <c r="P27" s="19"/>
      <c r="AE27" s="46"/>
      <c r="AF27" s="46"/>
      <c r="AG27" s="113"/>
      <c r="AH27" s="113"/>
      <c r="AI27" s="3"/>
      <c r="AJ27" s="3"/>
      <c r="AK27" s="5"/>
    </row>
    <row r="28" spans="1:40" x14ac:dyDescent="0.25">
      <c r="A28" s="121" t="s">
        <v>19</v>
      </c>
      <c r="B28" s="122"/>
      <c r="C28" s="123"/>
      <c r="D28" s="79"/>
      <c r="E28" s="80"/>
      <c r="G28" s="74"/>
      <c r="H28" s="74"/>
      <c r="I28" s="74"/>
      <c r="J28" s="6"/>
      <c r="K28" s="3"/>
      <c r="L28" s="92"/>
      <c r="M28" s="92"/>
      <c r="N28" s="18"/>
      <c r="O28" s="21"/>
      <c r="P28" s="19"/>
      <c r="R28" s="139" t="s">
        <v>79</v>
      </c>
      <c r="S28" s="140"/>
      <c r="T28" s="140"/>
      <c r="U28" s="140"/>
      <c r="V28" s="141"/>
      <c r="AE28" s="46" t="s">
        <v>39</v>
      </c>
      <c r="AF28" s="46"/>
      <c r="AG28" s="138">
        <f>AG17+AG21+AG18</f>
        <v>0</v>
      </c>
      <c r="AH28" s="138"/>
      <c r="AI28" s="3"/>
      <c r="AJ28" s="3"/>
      <c r="AK28" s="5"/>
    </row>
    <row r="29" spans="1:40" x14ac:dyDescent="0.25">
      <c r="A29" s="121" t="s">
        <v>10</v>
      </c>
      <c r="B29" s="122"/>
      <c r="C29" s="123"/>
      <c r="D29" s="79"/>
      <c r="E29" s="80"/>
      <c r="G29" s="74"/>
      <c r="H29" s="74"/>
      <c r="I29" s="74"/>
      <c r="J29" s="6"/>
      <c r="K29" s="3"/>
      <c r="L29" s="92"/>
      <c r="M29" s="92"/>
      <c r="N29" s="18"/>
      <c r="O29" s="21"/>
      <c r="P29" s="19"/>
      <c r="R29" s="142"/>
      <c r="S29" s="143"/>
      <c r="T29" s="143"/>
      <c r="U29" s="143"/>
      <c r="V29" s="144"/>
      <c r="AE29" s="46" t="s">
        <v>40</v>
      </c>
      <c r="AF29" s="46"/>
      <c r="AG29" s="138">
        <v>1000</v>
      </c>
      <c r="AH29" s="138"/>
      <c r="AI29" s="3"/>
      <c r="AJ29" s="3"/>
      <c r="AK29" s="5"/>
    </row>
    <row r="30" spans="1:40" x14ac:dyDescent="0.25">
      <c r="A30" s="121" t="s">
        <v>11</v>
      </c>
      <c r="B30" s="122"/>
      <c r="C30" s="123"/>
      <c r="D30" s="79"/>
      <c r="E30" s="80"/>
      <c r="G30" s="74"/>
      <c r="H30" s="74"/>
      <c r="I30" s="74"/>
      <c r="J30" s="6"/>
      <c r="K30" s="3"/>
      <c r="L30" s="92"/>
      <c r="M30" s="92"/>
      <c r="N30" s="18"/>
      <c r="O30" s="6"/>
      <c r="P30" s="19"/>
      <c r="R30" s="59" t="s">
        <v>68</v>
      </c>
      <c r="S30" s="60"/>
      <c r="T30" s="61"/>
      <c r="U30" s="62" t="s">
        <v>1</v>
      </c>
      <c r="V30" s="63"/>
      <c r="AE30" s="46" t="s">
        <v>37</v>
      </c>
      <c r="AF30" s="46"/>
      <c r="AG30" s="138"/>
      <c r="AH30" s="138"/>
      <c r="AI30" s="3"/>
      <c r="AJ30" s="3"/>
      <c r="AK30" s="5"/>
    </row>
    <row r="31" spans="1:40" x14ac:dyDescent="0.25">
      <c r="A31" s="121" t="s">
        <v>48</v>
      </c>
      <c r="B31" s="122"/>
      <c r="C31" s="123"/>
      <c r="D31" s="79"/>
      <c r="E31" s="80"/>
      <c r="G31" s="74"/>
      <c r="H31" s="74"/>
      <c r="I31" s="74"/>
      <c r="J31" s="6"/>
      <c r="K31" s="3"/>
      <c r="L31" s="92"/>
      <c r="M31" s="92"/>
      <c r="N31" s="22"/>
      <c r="O31" s="21"/>
      <c r="P31" s="19"/>
      <c r="R31" s="81"/>
      <c r="S31" s="82"/>
      <c r="T31" s="83"/>
      <c r="U31" s="79"/>
      <c r="V31" s="84"/>
    </row>
    <row r="32" spans="1:40" ht="13.8" customHeight="1" x14ac:dyDescent="0.25">
      <c r="A32" s="145" t="s">
        <v>60</v>
      </c>
      <c r="B32" s="122"/>
      <c r="C32" s="123"/>
      <c r="D32" s="79"/>
      <c r="E32" s="80"/>
      <c r="G32" s="74"/>
      <c r="H32" s="74"/>
      <c r="I32" s="74"/>
      <c r="J32" s="6"/>
      <c r="K32" s="3"/>
      <c r="L32" s="120"/>
      <c r="M32" s="120"/>
      <c r="N32" s="22"/>
      <c r="O32" s="21"/>
      <c r="P32" s="19"/>
      <c r="R32" s="81"/>
      <c r="S32" s="82"/>
      <c r="T32" s="83"/>
      <c r="U32" s="79"/>
      <c r="V32" s="84"/>
    </row>
    <row r="33" spans="1:22" ht="13.8" customHeight="1" x14ac:dyDescent="0.25">
      <c r="A33" s="121"/>
      <c r="B33" s="122"/>
      <c r="C33" s="123"/>
      <c r="D33" s="79"/>
      <c r="E33" s="80"/>
      <c r="G33" s="74"/>
      <c r="H33" s="74"/>
      <c r="I33" s="74"/>
      <c r="J33" s="6"/>
      <c r="K33" s="3"/>
      <c r="L33" s="120"/>
      <c r="M33" s="120"/>
      <c r="N33" s="22"/>
      <c r="O33" s="21"/>
      <c r="P33" s="19"/>
      <c r="R33" s="81"/>
      <c r="S33" s="82"/>
      <c r="T33" s="83"/>
      <c r="U33" s="79"/>
      <c r="V33" s="84"/>
    </row>
    <row r="34" spans="1:22" ht="14.4" customHeight="1" thickBot="1" x14ac:dyDescent="0.3">
      <c r="A34" s="146" t="s">
        <v>9</v>
      </c>
      <c r="B34" s="147"/>
      <c r="C34" s="148"/>
      <c r="D34" s="149">
        <f>SUM(D22:E32)</f>
        <v>0</v>
      </c>
      <c r="E34" s="150"/>
      <c r="G34" s="74"/>
      <c r="H34" s="74"/>
      <c r="I34" s="74"/>
      <c r="J34" s="6"/>
      <c r="K34" s="3"/>
      <c r="L34" s="92"/>
      <c r="M34" s="92"/>
      <c r="N34" s="22"/>
      <c r="O34" s="21"/>
      <c r="P34" s="19"/>
      <c r="R34" s="81"/>
      <c r="S34" s="82"/>
      <c r="T34" s="83"/>
      <c r="U34" s="79"/>
      <c r="V34" s="84"/>
    </row>
    <row r="35" spans="1:22" ht="14.4" customHeight="1" x14ac:dyDescent="0.25">
      <c r="G35" s="74"/>
      <c r="H35" s="74"/>
      <c r="I35" s="74"/>
      <c r="J35" s="6"/>
      <c r="K35" s="3"/>
      <c r="L35" s="92"/>
      <c r="M35" s="92"/>
      <c r="N35" s="22"/>
      <c r="O35" s="21"/>
      <c r="P35" s="19"/>
      <c r="R35" s="81"/>
      <c r="S35" s="82"/>
      <c r="T35" s="83"/>
      <c r="U35" s="79"/>
      <c r="V35" s="84"/>
    </row>
    <row r="36" spans="1:22" ht="14.4" customHeight="1" x14ac:dyDescent="0.25">
      <c r="A36" s="152" t="s">
        <v>17</v>
      </c>
      <c r="B36" s="153"/>
      <c r="C36" s="153"/>
      <c r="D36" s="153"/>
      <c r="E36" s="154"/>
      <c r="G36" s="74"/>
      <c r="H36" s="74"/>
      <c r="I36" s="74"/>
      <c r="J36" s="6"/>
      <c r="K36" s="3"/>
      <c r="L36" s="92"/>
      <c r="M36" s="92"/>
      <c r="N36" s="22"/>
      <c r="O36" s="21"/>
      <c r="P36" s="19"/>
      <c r="R36" s="81"/>
      <c r="S36" s="82"/>
      <c r="T36" s="83"/>
      <c r="U36" s="79"/>
      <c r="V36" s="84"/>
    </row>
    <row r="37" spans="1:22" ht="14.4" customHeight="1" x14ac:dyDescent="0.25">
      <c r="A37" s="155"/>
      <c r="B37" s="52"/>
      <c r="C37" s="52"/>
      <c r="D37" s="52"/>
      <c r="E37" s="156"/>
      <c r="G37" s="74"/>
      <c r="H37" s="74"/>
      <c r="I37" s="74"/>
      <c r="J37" s="6"/>
      <c r="K37" s="3"/>
      <c r="L37" s="92"/>
      <c r="M37" s="92"/>
      <c r="N37" s="22"/>
      <c r="O37" s="21"/>
      <c r="P37" s="19"/>
      <c r="R37" s="81"/>
      <c r="S37" s="82"/>
      <c r="T37" s="83"/>
      <c r="U37" s="79"/>
      <c r="V37" s="84"/>
    </row>
    <row r="38" spans="1:22" ht="14.4" customHeight="1" x14ac:dyDescent="0.25">
      <c r="A38" s="62" t="s">
        <v>3</v>
      </c>
      <c r="B38" s="60"/>
      <c r="C38" s="61"/>
      <c r="D38" s="62" t="s">
        <v>1</v>
      </c>
      <c r="E38" s="61"/>
      <c r="G38" s="74"/>
      <c r="H38" s="74"/>
      <c r="I38" s="74"/>
      <c r="J38" s="6"/>
      <c r="K38" s="3"/>
      <c r="L38" s="92"/>
      <c r="M38" s="92"/>
      <c r="N38" s="22"/>
      <c r="O38" s="21"/>
      <c r="P38" s="19"/>
      <c r="R38" s="81"/>
      <c r="S38" s="82"/>
      <c r="T38" s="83"/>
      <c r="U38" s="79"/>
      <c r="V38" s="84"/>
    </row>
    <row r="39" spans="1:22" ht="14.4" customHeight="1" x14ac:dyDescent="0.25">
      <c r="A39" s="151" t="s">
        <v>4</v>
      </c>
      <c r="B39" s="77"/>
      <c r="C39" s="78"/>
      <c r="D39" s="79">
        <v>50000</v>
      </c>
      <c r="E39" s="84"/>
      <c r="G39" s="74"/>
      <c r="H39" s="74"/>
      <c r="I39" s="74"/>
      <c r="J39" s="6"/>
      <c r="K39" s="3"/>
      <c r="L39" s="92"/>
      <c r="M39" s="92"/>
      <c r="N39" s="22"/>
      <c r="O39" s="21"/>
      <c r="P39" s="19"/>
      <c r="R39" s="81"/>
      <c r="S39" s="82"/>
      <c r="T39" s="83"/>
      <c r="U39" s="79"/>
      <c r="V39" s="84"/>
    </row>
    <row r="40" spans="1:22" ht="14.4" customHeight="1" x14ac:dyDescent="0.25">
      <c r="A40" s="151" t="s">
        <v>45</v>
      </c>
      <c r="B40" s="77"/>
      <c r="C40" s="78"/>
      <c r="D40" s="79">
        <v>54000</v>
      </c>
      <c r="E40" s="84"/>
      <c r="G40" s="74"/>
      <c r="H40" s="74"/>
      <c r="I40" s="74"/>
      <c r="J40" s="6"/>
      <c r="K40" s="3"/>
      <c r="L40" s="92"/>
      <c r="M40" s="92"/>
      <c r="N40" s="22"/>
      <c r="O40" s="21"/>
      <c r="P40" s="19"/>
      <c r="R40" s="72"/>
      <c r="S40" s="72"/>
      <c r="T40" s="72"/>
      <c r="U40" s="79"/>
      <c r="V40" s="84"/>
    </row>
    <row r="41" spans="1:22" ht="14.4" customHeight="1" x14ac:dyDescent="0.25">
      <c r="A41" s="151" t="s">
        <v>5</v>
      </c>
      <c r="B41" s="77"/>
      <c r="C41" s="78"/>
      <c r="D41" s="79">
        <v>60000</v>
      </c>
      <c r="E41" s="84"/>
      <c r="G41" s="74"/>
      <c r="H41" s="74"/>
      <c r="I41" s="74"/>
      <c r="J41" s="6"/>
      <c r="K41" s="3"/>
      <c r="L41" s="92"/>
      <c r="M41" s="92"/>
      <c r="N41" s="22"/>
      <c r="O41" s="21"/>
      <c r="P41" s="19"/>
      <c r="R41" s="72"/>
      <c r="S41" s="72"/>
      <c r="T41" s="72"/>
      <c r="U41" s="73"/>
      <c r="V41" s="73"/>
    </row>
    <row r="42" spans="1:22" ht="14.4" customHeight="1" x14ac:dyDescent="0.25">
      <c r="A42" s="151" t="s">
        <v>6</v>
      </c>
      <c r="B42" s="77"/>
      <c r="C42" s="78"/>
      <c r="D42" s="79">
        <v>60000</v>
      </c>
      <c r="E42" s="84"/>
      <c r="G42" s="74"/>
      <c r="H42" s="74"/>
      <c r="I42" s="74"/>
      <c r="J42" s="6"/>
      <c r="K42" s="3"/>
      <c r="L42" s="92"/>
      <c r="M42" s="92"/>
      <c r="N42" s="22"/>
      <c r="O42" s="21"/>
      <c r="P42" s="19"/>
      <c r="R42" s="72"/>
      <c r="S42" s="72"/>
      <c r="T42" s="72"/>
      <c r="U42" s="79"/>
      <c r="V42" s="84"/>
    </row>
    <row r="43" spans="1:22" ht="14.4" customHeight="1" x14ac:dyDescent="0.25">
      <c r="A43" s="151" t="s">
        <v>7</v>
      </c>
      <c r="B43" s="77"/>
      <c r="C43" s="78"/>
      <c r="D43" s="79">
        <v>60000</v>
      </c>
      <c r="E43" s="84"/>
      <c r="G43" s="74"/>
      <c r="H43" s="74"/>
      <c r="I43" s="74"/>
      <c r="J43" s="6"/>
      <c r="K43" s="3"/>
      <c r="L43" s="92"/>
      <c r="M43" s="92"/>
      <c r="N43" s="18"/>
      <c r="O43" s="6"/>
      <c r="P43" s="19"/>
      <c r="R43" s="72"/>
      <c r="S43" s="72"/>
      <c r="T43" s="72"/>
      <c r="U43" s="73"/>
      <c r="V43" s="73"/>
    </row>
    <row r="44" spans="1:22" ht="14.4" customHeight="1" x14ac:dyDescent="0.25">
      <c r="A44" s="157" t="s">
        <v>8</v>
      </c>
      <c r="B44" s="158"/>
      <c r="C44" s="159"/>
      <c r="D44" s="160">
        <f>40000</f>
        <v>40000</v>
      </c>
      <c r="E44" s="161"/>
      <c r="G44" s="74"/>
      <c r="H44" s="74"/>
      <c r="I44" s="74"/>
      <c r="J44" s="6"/>
      <c r="K44" s="3"/>
      <c r="L44" s="92"/>
      <c r="M44" s="92"/>
      <c r="N44" s="22"/>
      <c r="O44" s="21"/>
      <c r="P44" s="19"/>
      <c r="R44" s="72"/>
      <c r="S44" s="72"/>
      <c r="T44" s="72"/>
      <c r="U44" s="79"/>
      <c r="V44" s="84"/>
    </row>
    <row r="45" spans="1:22" ht="14.4" customHeight="1" x14ac:dyDescent="0.25">
      <c r="A45" s="151" t="s">
        <v>16</v>
      </c>
      <c r="B45" s="77"/>
      <c r="C45" s="78"/>
      <c r="D45" s="79">
        <v>50000</v>
      </c>
      <c r="E45" s="84"/>
      <c r="G45" s="74"/>
      <c r="H45" s="74"/>
      <c r="I45" s="74"/>
      <c r="J45" s="6"/>
      <c r="K45" s="3"/>
      <c r="L45" s="92"/>
      <c r="M45" s="92"/>
      <c r="N45" s="22"/>
      <c r="O45" s="21"/>
      <c r="P45" s="19"/>
      <c r="R45" s="72"/>
      <c r="S45" s="72"/>
      <c r="T45" s="72"/>
      <c r="U45" s="73"/>
      <c r="V45" s="73"/>
    </row>
    <row r="46" spans="1:22" ht="14.4" customHeight="1" x14ac:dyDescent="0.25">
      <c r="A46" s="151" t="s">
        <v>42</v>
      </c>
      <c r="B46" s="77"/>
      <c r="C46" s="78"/>
      <c r="D46" s="79">
        <v>50000</v>
      </c>
      <c r="E46" s="84"/>
      <c r="G46" s="74"/>
      <c r="H46" s="74"/>
      <c r="I46" s="74"/>
      <c r="J46" s="27"/>
      <c r="K46" s="3"/>
      <c r="L46" s="120"/>
      <c r="M46" s="120"/>
      <c r="N46" s="22"/>
      <c r="O46" s="21"/>
      <c r="P46" s="19"/>
      <c r="R46" s="72"/>
      <c r="S46" s="72"/>
      <c r="T46" s="72"/>
      <c r="U46" s="79"/>
      <c r="V46" s="84"/>
    </row>
    <row r="47" spans="1:22" ht="13.8" customHeight="1" x14ac:dyDescent="0.25">
      <c r="A47" s="145" t="s">
        <v>60</v>
      </c>
      <c r="B47" s="122"/>
      <c r="C47" s="123"/>
      <c r="D47" s="79">
        <v>30000</v>
      </c>
      <c r="E47" s="84"/>
      <c r="G47" s="74"/>
      <c r="H47" s="74"/>
      <c r="I47" s="74"/>
      <c r="J47" s="6"/>
      <c r="K47" s="16"/>
      <c r="L47" s="92"/>
      <c r="M47" s="92"/>
      <c r="N47" s="14"/>
      <c r="O47" s="20"/>
      <c r="P47" s="19"/>
      <c r="R47" s="72"/>
      <c r="S47" s="72"/>
      <c r="T47" s="72"/>
      <c r="U47" s="73"/>
      <c r="V47" s="73"/>
    </row>
    <row r="48" spans="1:22" ht="13.8" customHeight="1" x14ac:dyDescent="0.25">
      <c r="A48" s="151" t="s">
        <v>59</v>
      </c>
      <c r="B48" s="77"/>
      <c r="C48" s="78"/>
      <c r="D48" s="79">
        <v>50000</v>
      </c>
      <c r="E48" s="84"/>
      <c r="G48" s="74"/>
      <c r="H48" s="74"/>
      <c r="I48" s="74"/>
      <c r="J48" s="6"/>
      <c r="K48" s="16"/>
      <c r="L48" s="92"/>
      <c r="M48" s="92"/>
      <c r="N48" s="14"/>
      <c r="O48" s="20"/>
      <c r="P48" s="19"/>
      <c r="R48" s="72"/>
      <c r="S48" s="72"/>
      <c r="T48" s="72"/>
      <c r="U48" s="79"/>
      <c r="V48" s="84"/>
    </row>
    <row r="49" spans="1:22" ht="13.8" customHeight="1" x14ac:dyDescent="0.25">
      <c r="A49" s="151" t="s">
        <v>77</v>
      </c>
      <c r="B49" s="77"/>
      <c r="C49" s="78"/>
      <c r="D49" s="79">
        <v>20000</v>
      </c>
      <c r="E49" s="84"/>
      <c r="G49" s="74"/>
      <c r="H49" s="74"/>
      <c r="I49" s="74"/>
      <c r="J49" s="6"/>
      <c r="K49" s="16"/>
      <c r="L49" s="92"/>
      <c r="M49" s="92"/>
      <c r="N49" s="14"/>
      <c r="O49" s="20"/>
      <c r="P49" s="19"/>
      <c r="R49" s="72"/>
      <c r="S49" s="72"/>
      <c r="T49" s="72"/>
      <c r="U49" s="79"/>
      <c r="V49" s="84"/>
    </row>
    <row r="50" spans="1:22" ht="13.8" customHeight="1" x14ac:dyDescent="0.25">
      <c r="A50" s="172"/>
      <c r="B50" s="173"/>
      <c r="C50" s="174"/>
      <c r="D50" s="172"/>
      <c r="E50" s="174"/>
      <c r="G50" s="74"/>
      <c r="H50" s="74"/>
      <c r="I50" s="74"/>
      <c r="J50" s="6"/>
      <c r="K50" s="16"/>
      <c r="L50" s="92"/>
      <c r="M50" s="92"/>
      <c r="N50" s="14"/>
      <c r="O50" s="20"/>
      <c r="P50" s="19"/>
      <c r="R50" s="162" t="s">
        <v>9</v>
      </c>
      <c r="S50" s="162"/>
      <c r="T50" s="162"/>
      <c r="U50" s="163">
        <f>SUM(U31:U48)+U49</f>
        <v>0</v>
      </c>
      <c r="V50" s="164"/>
    </row>
    <row r="51" spans="1:22" ht="13.8" customHeight="1" x14ac:dyDescent="0.25">
      <c r="A51" s="165" t="s">
        <v>9</v>
      </c>
      <c r="B51" s="166"/>
      <c r="C51" s="167"/>
      <c r="D51" s="168">
        <f>D39+D40+D42+D41+D43+D44+D46+D45+D47+D48</f>
        <v>504000</v>
      </c>
      <c r="E51" s="169"/>
      <c r="G51" s="74"/>
      <c r="H51" s="74"/>
      <c r="I51" s="74"/>
      <c r="J51" s="6"/>
      <c r="K51" s="16"/>
      <c r="L51" s="92"/>
      <c r="M51" s="92"/>
      <c r="N51" s="14"/>
      <c r="O51" s="20"/>
      <c r="P51" s="19"/>
    </row>
    <row r="52" spans="1:22" ht="13.8" customHeight="1" x14ac:dyDescent="0.25">
      <c r="G52" s="145"/>
      <c r="H52" s="122"/>
      <c r="I52" s="123"/>
      <c r="J52" s="6"/>
      <c r="K52" s="3"/>
      <c r="L52" s="170"/>
      <c r="M52" s="171"/>
      <c r="N52" s="18"/>
      <c r="O52" s="6"/>
      <c r="P52" s="19"/>
    </row>
    <row r="53" spans="1:22" x14ac:dyDescent="0.25">
      <c r="A53" s="175" t="s">
        <v>69</v>
      </c>
      <c r="B53" s="176"/>
      <c r="C53" s="176"/>
      <c r="D53" s="176"/>
      <c r="E53" s="177"/>
      <c r="G53" s="145"/>
      <c r="H53" s="122"/>
      <c r="I53" s="123"/>
      <c r="J53" s="6"/>
      <c r="K53" s="3"/>
      <c r="L53" s="170"/>
      <c r="M53" s="171"/>
      <c r="N53" s="18"/>
      <c r="O53" s="6"/>
      <c r="P53" s="19"/>
    </row>
    <row r="54" spans="1:22" x14ac:dyDescent="0.25">
      <c r="A54" s="178"/>
      <c r="B54" s="179"/>
      <c r="C54" s="179"/>
      <c r="D54" s="179"/>
      <c r="E54" s="180"/>
      <c r="G54" s="145"/>
      <c r="H54" s="122"/>
      <c r="I54" s="123"/>
      <c r="J54" s="6"/>
      <c r="K54" s="3"/>
      <c r="L54" s="170"/>
      <c r="M54" s="171"/>
      <c r="N54" s="18"/>
      <c r="O54" s="6"/>
      <c r="P54" s="19"/>
    </row>
    <row r="55" spans="1:22" x14ac:dyDescent="0.25">
      <c r="A55" s="62" t="s">
        <v>20</v>
      </c>
      <c r="B55" s="60"/>
      <c r="C55" s="61"/>
      <c r="D55" s="62" t="s">
        <v>1</v>
      </c>
      <c r="E55" s="61"/>
      <c r="G55" s="145"/>
      <c r="H55" s="122"/>
      <c r="I55" s="123"/>
      <c r="J55" s="6"/>
      <c r="K55" s="3"/>
      <c r="L55" s="170"/>
      <c r="M55" s="171"/>
      <c r="N55" s="18"/>
      <c r="O55" s="6"/>
      <c r="P55" s="19"/>
    </row>
    <row r="56" spans="1:22" x14ac:dyDescent="0.25">
      <c r="A56" s="151" t="s">
        <v>10</v>
      </c>
      <c r="B56" s="77"/>
      <c r="C56" s="78"/>
      <c r="D56" s="79">
        <v>45000</v>
      </c>
      <c r="E56" s="84"/>
      <c r="G56" s="145"/>
      <c r="H56" s="122"/>
      <c r="I56" s="123"/>
      <c r="J56" s="6"/>
      <c r="K56" s="3"/>
      <c r="L56" s="170"/>
      <c r="M56" s="171"/>
      <c r="N56" s="18"/>
      <c r="O56" s="6"/>
      <c r="P56" s="19"/>
    </row>
    <row r="57" spans="1:22" x14ac:dyDescent="0.25">
      <c r="A57" s="151" t="s">
        <v>21</v>
      </c>
      <c r="B57" s="77"/>
      <c r="C57" s="78"/>
      <c r="D57" s="79">
        <v>11000</v>
      </c>
      <c r="E57" s="84"/>
      <c r="G57" s="145"/>
      <c r="H57" s="122"/>
      <c r="I57" s="123"/>
      <c r="J57" s="6"/>
      <c r="K57" s="3"/>
      <c r="L57" s="170"/>
      <c r="M57" s="171"/>
      <c r="N57" s="18"/>
      <c r="O57" s="6"/>
      <c r="P57" s="19"/>
    </row>
    <row r="58" spans="1:22" x14ac:dyDescent="0.25">
      <c r="A58" s="151" t="s">
        <v>22</v>
      </c>
      <c r="B58" s="77"/>
      <c r="C58" s="78"/>
      <c r="D58" s="79">
        <v>10000</v>
      </c>
      <c r="E58" s="84"/>
      <c r="G58" s="145"/>
      <c r="H58" s="122"/>
      <c r="I58" s="123"/>
      <c r="J58" s="6"/>
      <c r="K58" s="3"/>
      <c r="L58" s="170"/>
      <c r="M58" s="171"/>
      <c r="N58" s="18"/>
      <c r="O58" s="6"/>
      <c r="P58" s="19"/>
    </row>
    <row r="59" spans="1:22" x14ac:dyDescent="0.25">
      <c r="A59" s="151" t="s">
        <v>23</v>
      </c>
      <c r="B59" s="77"/>
      <c r="C59" s="78"/>
      <c r="D59" s="181">
        <v>15000</v>
      </c>
      <c r="E59" s="182"/>
      <c r="G59" s="74"/>
      <c r="H59" s="74"/>
      <c r="I59" s="74"/>
      <c r="J59" s="6"/>
      <c r="K59" s="3"/>
      <c r="L59" s="92"/>
      <c r="M59" s="92"/>
      <c r="N59" s="18"/>
      <c r="O59" s="6"/>
      <c r="P59" s="19"/>
    </row>
    <row r="60" spans="1:22" x14ac:dyDescent="0.25">
      <c r="A60" s="151" t="s">
        <v>27</v>
      </c>
      <c r="B60" s="77"/>
      <c r="C60" s="78"/>
      <c r="D60" s="79">
        <v>2000</v>
      </c>
      <c r="E60" s="84"/>
      <c r="G60" s="74"/>
      <c r="H60" s="74"/>
      <c r="I60" s="74"/>
      <c r="J60" s="6"/>
      <c r="K60" s="3"/>
      <c r="L60" s="92"/>
      <c r="M60" s="92"/>
      <c r="N60" s="18"/>
      <c r="O60" s="6"/>
      <c r="P60" s="19"/>
    </row>
    <row r="61" spans="1:22" x14ac:dyDescent="0.25">
      <c r="A61" s="151" t="s">
        <v>41</v>
      </c>
      <c r="B61" s="77"/>
      <c r="C61" s="78"/>
      <c r="D61" s="79">
        <v>5700</v>
      </c>
      <c r="E61" s="84"/>
      <c r="G61" s="74"/>
      <c r="H61" s="74"/>
      <c r="I61" s="74"/>
      <c r="J61" s="6"/>
      <c r="K61" s="3"/>
      <c r="L61" s="92"/>
      <c r="M61" s="92"/>
      <c r="N61" s="18"/>
      <c r="O61" s="6"/>
      <c r="P61" s="19"/>
    </row>
    <row r="62" spans="1:22" x14ac:dyDescent="0.25">
      <c r="A62" s="151"/>
      <c r="B62" s="77"/>
      <c r="C62" s="78"/>
      <c r="D62" s="79"/>
      <c r="E62" s="84"/>
      <c r="G62" s="74"/>
      <c r="H62" s="74"/>
      <c r="I62" s="74"/>
      <c r="J62" s="6"/>
      <c r="K62" s="3"/>
      <c r="L62" s="92"/>
      <c r="M62" s="92"/>
      <c r="N62" s="18"/>
      <c r="O62" s="6"/>
      <c r="P62" s="19"/>
    </row>
    <row r="63" spans="1:22" x14ac:dyDescent="0.25">
      <c r="A63" s="151"/>
      <c r="B63" s="77"/>
      <c r="C63" s="78"/>
      <c r="D63" s="79"/>
      <c r="E63" s="84"/>
      <c r="G63" s="74"/>
      <c r="H63" s="74"/>
      <c r="I63" s="74"/>
      <c r="J63" s="6"/>
      <c r="K63" s="3"/>
      <c r="L63" s="92"/>
      <c r="M63" s="92"/>
      <c r="N63" s="18"/>
      <c r="O63" s="6"/>
      <c r="P63" s="19"/>
    </row>
    <row r="64" spans="1:22" x14ac:dyDescent="0.25">
      <c r="A64" s="151"/>
      <c r="B64" s="77"/>
      <c r="C64" s="78"/>
      <c r="D64" s="79"/>
      <c r="E64" s="84"/>
      <c r="G64" s="74"/>
      <c r="H64" s="74"/>
      <c r="I64" s="74"/>
      <c r="J64" s="6"/>
      <c r="K64" s="3"/>
      <c r="L64" s="92"/>
      <c r="M64" s="92"/>
      <c r="N64" s="18"/>
      <c r="O64" s="6"/>
      <c r="P64" s="19"/>
    </row>
    <row r="65" spans="1:16" x14ac:dyDescent="0.25">
      <c r="A65" s="151"/>
      <c r="B65" s="77"/>
      <c r="C65" s="78"/>
      <c r="D65" s="79"/>
      <c r="E65" s="84"/>
      <c r="G65" s="74"/>
      <c r="H65" s="74"/>
      <c r="I65" s="74"/>
      <c r="J65" s="6"/>
      <c r="K65" s="3"/>
      <c r="L65" s="92"/>
      <c r="M65" s="92"/>
      <c r="N65" s="18"/>
      <c r="O65" s="6"/>
      <c r="P65" s="19"/>
    </row>
    <row r="66" spans="1:16" x14ac:dyDescent="0.25">
      <c r="A66" s="151"/>
      <c r="B66" s="77"/>
      <c r="C66" s="78"/>
      <c r="D66" s="79"/>
      <c r="E66" s="84"/>
      <c r="G66" s="74"/>
      <c r="H66" s="74"/>
      <c r="I66" s="74"/>
      <c r="J66" s="6"/>
      <c r="K66" s="3"/>
      <c r="L66" s="92"/>
      <c r="M66" s="92"/>
      <c r="N66" s="18"/>
      <c r="O66" s="6"/>
      <c r="P66" s="19"/>
    </row>
    <row r="67" spans="1:16" x14ac:dyDescent="0.25">
      <c r="A67" s="165" t="s">
        <v>9</v>
      </c>
      <c r="B67" s="166"/>
      <c r="C67" s="167"/>
      <c r="D67" s="168">
        <f>SUM(D56:E63)</f>
        <v>88700</v>
      </c>
      <c r="E67" s="169"/>
      <c r="G67" s="74"/>
      <c r="H67" s="74"/>
      <c r="I67" s="74"/>
      <c r="J67" s="6"/>
      <c r="K67" s="3"/>
      <c r="L67" s="92"/>
      <c r="M67" s="92"/>
      <c r="N67" s="18"/>
      <c r="O67" s="6"/>
      <c r="P67" s="19"/>
    </row>
    <row r="68" spans="1:16" x14ac:dyDescent="0.25">
      <c r="G68" s="74"/>
      <c r="H68" s="74"/>
      <c r="I68" s="74"/>
      <c r="J68" s="6"/>
      <c r="K68" s="3"/>
      <c r="L68" s="92"/>
      <c r="M68" s="92"/>
      <c r="N68" s="18"/>
      <c r="O68" s="6"/>
      <c r="P68" s="19"/>
    </row>
    <row r="69" spans="1:16" x14ac:dyDescent="0.25">
      <c r="G69" s="74"/>
      <c r="H69" s="74"/>
      <c r="I69" s="74"/>
      <c r="J69" s="6"/>
      <c r="K69" s="3"/>
      <c r="L69" s="92"/>
      <c r="M69" s="92"/>
      <c r="N69" s="18"/>
      <c r="O69" s="6"/>
      <c r="P69" s="19"/>
    </row>
    <row r="70" spans="1:16" x14ac:dyDescent="0.25">
      <c r="G70" s="187" t="s">
        <v>12</v>
      </c>
      <c r="H70" s="187"/>
      <c r="I70" s="187"/>
      <c r="J70" s="187"/>
      <c r="K70" s="187"/>
      <c r="L70" s="184">
        <f>SUM(L8:L67)</f>
        <v>950909</v>
      </c>
      <c r="M70" s="184"/>
      <c r="N70" s="23"/>
      <c r="O70" s="6"/>
      <c r="P70" s="19"/>
    </row>
    <row r="71" spans="1:16" x14ac:dyDescent="0.25">
      <c r="G71" s="183" t="s">
        <v>26</v>
      </c>
      <c r="H71" s="183"/>
      <c r="I71" s="183"/>
      <c r="J71" s="183"/>
      <c r="K71" s="183"/>
      <c r="L71" s="184">
        <v>0</v>
      </c>
      <c r="M71" s="184"/>
      <c r="N71" s="23"/>
      <c r="O71" s="6"/>
      <c r="P71" s="19"/>
    </row>
    <row r="72" spans="1:16" x14ac:dyDescent="0.25">
      <c r="G72" s="185" t="s">
        <v>25</v>
      </c>
      <c r="H72" s="185"/>
      <c r="I72" s="185"/>
      <c r="J72" s="185"/>
      <c r="K72" s="185"/>
      <c r="L72" s="184">
        <f>SUMIF(P8:P67, "PAID", L8:M67)</f>
        <v>626</v>
      </c>
      <c r="M72" s="184"/>
      <c r="N72" s="23"/>
      <c r="O72" s="6"/>
      <c r="P72" s="19"/>
    </row>
    <row r="73" spans="1:16" x14ac:dyDescent="0.25">
      <c r="G73" s="186" t="s">
        <v>24</v>
      </c>
      <c r="H73" s="186"/>
      <c r="I73" s="186"/>
      <c r="J73" s="186"/>
      <c r="K73" s="186"/>
      <c r="L73" s="184">
        <f>L70 - L72 - SUMPRODUCT(((P8:P67="REFUNDED")+(P8:P67="CASHBACK"))*(L8:L67 + M8:M67))</f>
        <v>950283</v>
      </c>
      <c r="M73" s="184"/>
      <c r="N73" s="23"/>
      <c r="O73" s="6"/>
      <c r="P73" s="19"/>
    </row>
  </sheetData>
  <autoFilter ref="G7:P58" xr:uid="{8996F808-35DB-4685-B479-A9656B55CEE7}">
    <filterColumn colId="0" showButton="0"/>
    <filterColumn colId="1" showButton="0"/>
    <filterColumn colId="5" showButton="0"/>
  </autoFilter>
  <dataConsolidate/>
  <mergeCells count="431">
    <mergeCell ref="G42:I42"/>
    <mergeCell ref="L42:M42"/>
    <mergeCell ref="G33:I33"/>
    <mergeCell ref="L33:M33"/>
    <mergeCell ref="G71:K71"/>
    <mergeCell ref="L71:M71"/>
    <mergeCell ref="G72:K72"/>
    <mergeCell ref="L72:M72"/>
    <mergeCell ref="G73:K73"/>
    <mergeCell ref="L73:M73"/>
    <mergeCell ref="G68:I68"/>
    <mergeCell ref="L68:M68"/>
    <mergeCell ref="G69:I69"/>
    <mergeCell ref="L69:M69"/>
    <mergeCell ref="G70:K70"/>
    <mergeCell ref="L70:M70"/>
    <mergeCell ref="G36:I36"/>
    <mergeCell ref="L36:M36"/>
    <mergeCell ref="A66:C66"/>
    <mergeCell ref="D66:E66"/>
    <mergeCell ref="G66:I66"/>
    <mergeCell ref="L66:M66"/>
    <mergeCell ref="A67:C67"/>
    <mergeCell ref="D67:E67"/>
    <mergeCell ref="G67:I67"/>
    <mergeCell ref="L67:M67"/>
    <mergeCell ref="A64:C64"/>
    <mergeCell ref="D64:E64"/>
    <mergeCell ref="G64:I64"/>
    <mergeCell ref="L64:M64"/>
    <mergeCell ref="A65:C65"/>
    <mergeCell ref="D65:E65"/>
    <mergeCell ref="G65:I65"/>
    <mergeCell ref="L65:M65"/>
    <mergeCell ref="A62:C62"/>
    <mergeCell ref="D62:E62"/>
    <mergeCell ref="G62:I62"/>
    <mergeCell ref="L62:M62"/>
    <mergeCell ref="A63:C63"/>
    <mergeCell ref="D63:E63"/>
    <mergeCell ref="G63:I63"/>
    <mergeCell ref="L63:M63"/>
    <mergeCell ref="A60:C60"/>
    <mergeCell ref="D60:E60"/>
    <mergeCell ref="G60:I60"/>
    <mergeCell ref="L60:M60"/>
    <mergeCell ref="A61:C61"/>
    <mergeCell ref="D61:E61"/>
    <mergeCell ref="G61:I61"/>
    <mergeCell ref="L61:M61"/>
    <mergeCell ref="A58:C58"/>
    <mergeCell ref="D58:E58"/>
    <mergeCell ref="G58:I58"/>
    <mergeCell ref="L58:M58"/>
    <mergeCell ref="A59:C59"/>
    <mergeCell ref="D59:E59"/>
    <mergeCell ref="G59:I59"/>
    <mergeCell ref="L59:M59"/>
    <mergeCell ref="A56:C56"/>
    <mergeCell ref="D56:E56"/>
    <mergeCell ref="G56:I56"/>
    <mergeCell ref="L56:M56"/>
    <mergeCell ref="A57:C57"/>
    <mergeCell ref="D57:E57"/>
    <mergeCell ref="G57:I57"/>
    <mergeCell ref="L57:M57"/>
    <mergeCell ref="A53:E54"/>
    <mergeCell ref="G53:I53"/>
    <mergeCell ref="L53:M53"/>
    <mergeCell ref="G54:I54"/>
    <mergeCell ref="L54:M54"/>
    <mergeCell ref="A55:C55"/>
    <mergeCell ref="D55:E55"/>
    <mergeCell ref="G55:I55"/>
    <mergeCell ref="L55:M55"/>
    <mergeCell ref="A51:C51"/>
    <mergeCell ref="D51:E51"/>
    <mergeCell ref="G51:I51"/>
    <mergeCell ref="L51:M51"/>
    <mergeCell ref="G52:I52"/>
    <mergeCell ref="L52:M52"/>
    <mergeCell ref="A50:C50"/>
    <mergeCell ref="D50:E50"/>
    <mergeCell ref="G50:I50"/>
    <mergeCell ref="L50:M50"/>
    <mergeCell ref="R50:T50"/>
    <mergeCell ref="U50:V50"/>
    <mergeCell ref="A49:C49"/>
    <mergeCell ref="D49:E49"/>
    <mergeCell ref="G49:I49"/>
    <mergeCell ref="L49:M49"/>
    <mergeCell ref="R49:T49"/>
    <mergeCell ref="U49:V49"/>
    <mergeCell ref="A48:C48"/>
    <mergeCell ref="D48:E48"/>
    <mergeCell ref="G48:I48"/>
    <mergeCell ref="L48:M48"/>
    <mergeCell ref="R48:T48"/>
    <mergeCell ref="U48:V48"/>
    <mergeCell ref="A47:C47"/>
    <mergeCell ref="D47:E47"/>
    <mergeCell ref="G47:I47"/>
    <mergeCell ref="L47:M47"/>
    <mergeCell ref="R47:T47"/>
    <mergeCell ref="U47:V47"/>
    <mergeCell ref="A46:C46"/>
    <mergeCell ref="D46:E46"/>
    <mergeCell ref="G46:I46"/>
    <mergeCell ref="L46:M46"/>
    <mergeCell ref="R46:T46"/>
    <mergeCell ref="U46:V46"/>
    <mergeCell ref="A45:C45"/>
    <mergeCell ref="D45:E45"/>
    <mergeCell ref="G45:I45"/>
    <mergeCell ref="L45:M45"/>
    <mergeCell ref="R45:T45"/>
    <mergeCell ref="U45:V45"/>
    <mergeCell ref="A44:C44"/>
    <mergeCell ref="D44:E44"/>
    <mergeCell ref="G44:I44"/>
    <mergeCell ref="L44:M44"/>
    <mergeCell ref="R44:T44"/>
    <mergeCell ref="U44:V44"/>
    <mergeCell ref="A43:C43"/>
    <mergeCell ref="D43:E43"/>
    <mergeCell ref="G43:I43"/>
    <mergeCell ref="L43:M43"/>
    <mergeCell ref="R43:T43"/>
    <mergeCell ref="U43:V43"/>
    <mergeCell ref="A42:C42"/>
    <mergeCell ref="D42:E42"/>
    <mergeCell ref="G10:I10"/>
    <mergeCell ref="L10:M10"/>
    <mergeCell ref="R42:T42"/>
    <mergeCell ref="U42:V42"/>
    <mergeCell ref="G40:I40"/>
    <mergeCell ref="L40:M40"/>
    <mergeCell ref="G41:I41"/>
    <mergeCell ref="L41:M41"/>
    <mergeCell ref="A41:C41"/>
    <mergeCell ref="D41:E41"/>
    <mergeCell ref="U38:V38"/>
    <mergeCell ref="G35:I35"/>
    <mergeCell ref="L35:M35"/>
    <mergeCell ref="R35:T35"/>
    <mergeCell ref="U35:V35"/>
    <mergeCell ref="A36:E37"/>
    <mergeCell ref="R41:T41"/>
    <mergeCell ref="U41:V41"/>
    <mergeCell ref="A40:C40"/>
    <mergeCell ref="D40:E40"/>
    <mergeCell ref="G8:I8"/>
    <mergeCell ref="L8:M8"/>
    <mergeCell ref="R40:T40"/>
    <mergeCell ref="U40:V40"/>
    <mergeCell ref="A39:C39"/>
    <mergeCell ref="D39:E39"/>
    <mergeCell ref="G39:I39"/>
    <mergeCell ref="L39:M39"/>
    <mergeCell ref="R39:T39"/>
    <mergeCell ref="U39:V39"/>
    <mergeCell ref="L37:M37"/>
    <mergeCell ref="R37:T37"/>
    <mergeCell ref="U37:V37"/>
    <mergeCell ref="A38:C38"/>
    <mergeCell ref="D38:E38"/>
    <mergeCell ref="G38:I38"/>
    <mergeCell ref="L38:M38"/>
    <mergeCell ref="R38:T38"/>
    <mergeCell ref="R36:T36"/>
    <mergeCell ref="U36:V36"/>
    <mergeCell ref="G37:I37"/>
    <mergeCell ref="A34:C34"/>
    <mergeCell ref="D34:E34"/>
    <mergeCell ref="G34:I34"/>
    <mergeCell ref="L34:M34"/>
    <mergeCell ref="R34:T34"/>
    <mergeCell ref="U34:V34"/>
    <mergeCell ref="A33:C33"/>
    <mergeCell ref="D33:E33"/>
    <mergeCell ref="G11:I11"/>
    <mergeCell ref="L11:M11"/>
    <mergeCell ref="R33:T33"/>
    <mergeCell ref="U33:V33"/>
    <mergeCell ref="A32:C32"/>
    <mergeCell ref="D32:E32"/>
    <mergeCell ref="G32:I32"/>
    <mergeCell ref="L32:M32"/>
    <mergeCell ref="R32:T32"/>
    <mergeCell ref="U32:V32"/>
    <mergeCell ref="A17:C17"/>
    <mergeCell ref="D17:E17"/>
    <mergeCell ref="AE30:AF30"/>
    <mergeCell ref="AG30:AH30"/>
    <mergeCell ref="A31:C31"/>
    <mergeCell ref="D31:E31"/>
    <mergeCell ref="G31:I31"/>
    <mergeCell ref="L31:M31"/>
    <mergeCell ref="R31:T31"/>
    <mergeCell ref="U31:V31"/>
    <mergeCell ref="A30:C30"/>
    <mergeCell ref="D30:E30"/>
    <mergeCell ref="G30:I30"/>
    <mergeCell ref="L30:M30"/>
    <mergeCell ref="R30:T30"/>
    <mergeCell ref="U30:V30"/>
    <mergeCell ref="A27:C27"/>
    <mergeCell ref="D27:E27"/>
    <mergeCell ref="G27:I27"/>
    <mergeCell ref="L27:M27"/>
    <mergeCell ref="AE27:AF27"/>
    <mergeCell ref="AG27:AH27"/>
    <mergeCell ref="AG28:AH28"/>
    <mergeCell ref="A29:C29"/>
    <mergeCell ref="D29:E29"/>
    <mergeCell ref="G29:I29"/>
    <mergeCell ref="L29:M29"/>
    <mergeCell ref="AE29:AF29"/>
    <mergeCell ref="AG29:AH29"/>
    <mergeCell ref="A28:C28"/>
    <mergeCell ref="D28:E28"/>
    <mergeCell ref="G28:I28"/>
    <mergeCell ref="L28:M28"/>
    <mergeCell ref="R28:V29"/>
    <mergeCell ref="AE28:AF28"/>
    <mergeCell ref="AG25:AH25"/>
    <mergeCell ref="A26:C26"/>
    <mergeCell ref="D26:E26"/>
    <mergeCell ref="G26:I26"/>
    <mergeCell ref="L26:M26"/>
    <mergeCell ref="R26:T26"/>
    <mergeCell ref="U26:V26"/>
    <mergeCell ref="X26:Z26"/>
    <mergeCell ref="AA26:AB26"/>
    <mergeCell ref="AE26:AF26"/>
    <mergeCell ref="AG26:AH26"/>
    <mergeCell ref="A25:C25"/>
    <mergeCell ref="D25:E25"/>
    <mergeCell ref="G25:I25"/>
    <mergeCell ref="L25:M25"/>
    <mergeCell ref="R25:T25"/>
    <mergeCell ref="U25:V25"/>
    <mergeCell ref="X25:Z25"/>
    <mergeCell ref="AA25:AB25"/>
    <mergeCell ref="AE25:AF25"/>
    <mergeCell ref="AG23:AH23"/>
    <mergeCell ref="A24:C24"/>
    <mergeCell ref="D24:E24"/>
    <mergeCell ref="G24:I24"/>
    <mergeCell ref="L24:M24"/>
    <mergeCell ref="R24:T24"/>
    <mergeCell ref="U24:V24"/>
    <mergeCell ref="X24:Z24"/>
    <mergeCell ref="AA24:AB24"/>
    <mergeCell ref="AE24:AF24"/>
    <mergeCell ref="AG24:AH24"/>
    <mergeCell ref="A23:C23"/>
    <mergeCell ref="D23:E23"/>
    <mergeCell ref="G23:I23"/>
    <mergeCell ref="L23:M23"/>
    <mergeCell ref="R23:T23"/>
    <mergeCell ref="U23:V23"/>
    <mergeCell ref="X23:Z23"/>
    <mergeCell ref="AA23:AB23"/>
    <mergeCell ref="AE23:AF23"/>
    <mergeCell ref="AA21:AB21"/>
    <mergeCell ref="AE21:AF21"/>
    <mergeCell ref="AG21:AH21"/>
    <mergeCell ref="AM21:AN21"/>
    <mergeCell ref="A22:C22"/>
    <mergeCell ref="D22:E22"/>
    <mergeCell ref="G22:I22"/>
    <mergeCell ref="L22:M22"/>
    <mergeCell ref="R22:T22"/>
    <mergeCell ref="U22:V22"/>
    <mergeCell ref="D21:E21"/>
    <mergeCell ref="G21:I21"/>
    <mergeCell ref="L21:M21"/>
    <mergeCell ref="R21:T21"/>
    <mergeCell ref="U21:V21"/>
    <mergeCell ref="X21:Z21"/>
    <mergeCell ref="X22:Z22"/>
    <mergeCell ref="AA22:AB22"/>
    <mergeCell ref="AE22:AF22"/>
    <mergeCell ref="AG22:AH22"/>
    <mergeCell ref="A19:E20"/>
    <mergeCell ref="G19:I19"/>
    <mergeCell ref="L19:M19"/>
    <mergeCell ref="R19:T19"/>
    <mergeCell ref="U19:V19"/>
    <mergeCell ref="X19:Z19"/>
    <mergeCell ref="AA19:AB19"/>
    <mergeCell ref="AE19:AF19"/>
    <mergeCell ref="AG19:AH19"/>
    <mergeCell ref="G20:I20"/>
    <mergeCell ref="L20:M20"/>
    <mergeCell ref="R20:T20"/>
    <mergeCell ref="U20:V20"/>
    <mergeCell ref="X20:Z20"/>
    <mergeCell ref="AA20:AB20"/>
    <mergeCell ref="AE20:AF20"/>
    <mergeCell ref="AG20:AH20"/>
    <mergeCell ref="X17:Z17"/>
    <mergeCell ref="AA17:AB17"/>
    <mergeCell ref="AE17:AF17"/>
    <mergeCell ref="AG17:AH17"/>
    <mergeCell ref="G18:I18"/>
    <mergeCell ref="L18:M18"/>
    <mergeCell ref="R18:T18"/>
    <mergeCell ref="U18:V18"/>
    <mergeCell ref="X18:Z18"/>
    <mergeCell ref="AA18:AB18"/>
    <mergeCell ref="G17:I17"/>
    <mergeCell ref="L17:M17"/>
    <mergeCell ref="R17:T17"/>
    <mergeCell ref="U17:V17"/>
    <mergeCell ref="AE18:AF18"/>
    <mergeCell ref="AG18:AH18"/>
    <mergeCell ref="AE14:AF16"/>
    <mergeCell ref="AG14:AH16"/>
    <mergeCell ref="AI14:AI16"/>
    <mergeCell ref="AJ14:AJ16"/>
    <mergeCell ref="A15:C15"/>
    <mergeCell ref="D15:E15"/>
    <mergeCell ref="G15:I15"/>
    <mergeCell ref="L15:M15"/>
    <mergeCell ref="R15:T15"/>
    <mergeCell ref="U15:V15"/>
    <mergeCell ref="X15:Z15"/>
    <mergeCell ref="AA15:AB15"/>
    <mergeCell ref="A16:C16"/>
    <mergeCell ref="D16:E16"/>
    <mergeCell ref="G16:I16"/>
    <mergeCell ref="L16:M16"/>
    <mergeCell ref="R16:T16"/>
    <mergeCell ref="U16:V16"/>
    <mergeCell ref="X16:Z16"/>
    <mergeCell ref="AA16:AB16"/>
    <mergeCell ref="A13:C13"/>
    <mergeCell ref="D13:E13"/>
    <mergeCell ref="G13:I13"/>
    <mergeCell ref="L13:M13"/>
    <mergeCell ref="R13:T13"/>
    <mergeCell ref="U13:V13"/>
    <mergeCell ref="X13:Z13"/>
    <mergeCell ref="AA13:AB13"/>
    <mergeCell ref="A14:C14"/>
    <mergeCell ref="D14:E14"/>
    <mergeCell ref="G14:I14"/>
    <mergeCell ref="L14:M14"/>
    <mergeCell ref="R14:T14"/>
    <mergeCell ref="U14:V14"/>
    <mergeCell ref="X14:Z14"/>
    <mergeCell ref="AA14:AB14"/>
    <mergeCell ref="D12:E12"/>
    <mergeCell ref="G12:I12"/>
    <mergeCell ref="L12:M12"/>
    <mergeCell ref="R12:T12"/>
    <mergeCell ref="U12:V12"/>
    <mergeCell ref="X12:Z12"/>
    <mergeCell ref="AA12:AB12"/>
    <mergeCell ref="AE12:AF12"/>
    <mergeCell ref="AG12:AH12"/>
    <mergeCell ref="X10:Z10"/>
    <mergeCell ref="AA10:AB10"/>
    <mergeCell ref="AE10:AF10"/>
    <mergeCell ref="AG10:AH10"/>
    <mergeCell ref="A11:C11"/>
    <mergeCell ref="D11:E11"/>
    <mergeCell ref="R11:T11"/>
    <mergeCell ref="U11:V11"/>
    <mergeCell ref="X9:Z9"/>
    <mergeCell ref="AA9:AB9"/>
    <mergeCell ref="AE9:AF9"/>
    <mergeCell ref="AG9:AH9"/>
    <mergeCell ref="A10:C10"/>
    <mergeCell ref="D10:E10"/>
    <mergeCell ref="R10:T10"/>
    <mergeCell ref="U10:V10"/>
    <mergeCell ref="X11:Z11"/>
    <mergeCell ref="AA11:AB11"/>
    <mergeCell ref="AE11:AF11"/>
    <mergeCell ref="AG11:AH11"/>
    <mergeCell ref="G9:I9"/>
    <mergeCell ref="L9:M9"/>
    <mergeCell ref="X8:Z8"/>
    <mergeCell ref="AA8:AB8"/>
    <mergeCell ref="AE8:AF8"/>
    <mergeCell ref="AG8:AH8"/>
    <mergeCell ref="A9:C9"/>
    <mergeCell ref="D9:E9"/>
    <mergeCell ref="R9:T9"/>
    <mergeCell ref="U9:V9"/>
    <mergeCell ref="X7:Z7"/>
    <mergeCell ref="AA7:AB7"/>
    <mergeCell ref="AE7:AF7"/>
    <mergeCell ref="AG7:AH7"/>
    <mergeCell ref="A8:C8"/>
    <mergeCell ref="D8:E8"/>
    <mergeCell ref="R8:T8"/>
    <mergeCell ref="U8:V8"/>
    <mergeCell ref="A7:C7"/>
    <mergeCell ref="D7:E7"/>
    <mergeCell ref="G7:I7"/>
    <mergeCell ref="L7:M7"/>
    <mergeCell ref="R7:T7"/>
    <mergeCell ref="U7:V7"/>
    <mergeCell ref="R5:V6"/>
    <mergeCell ref="X5:AB6"/>
    <mergeCell ref="AJ5:AK5"/>
    <mergeCell ref="AL5:AN5"/>
    <mergeCell ref="A6:C6"/>
    <mergeCell ref="D6:E6"/>
    <mergeCell ref="G6:K6"/>
    <mergeCell ref="L6:M6"/>
    <mergeCell ref="AM6:AN6"/>
    <mergeCell ref="A4:E5"/>
    <mergeCell ref="G4:P5"/>
    <mergeCell ref="AB4:AC4"/>
    <mergeCell ref="AE4:AF4"/>
    <mergeCell ref="AG4:AH4"/>
    <mergeCell ref="AJ4:AK4"/>
    <mergeCell ref="A1:P3"/>
    <mergeCell ref="R1:AC3"/>
    <mergeCell ref="AE1:AH2"/>
    <mergeCell ref="AJ1:AN2"/>
    <mergeCell ref="AE3:AF3"/>
    <mergeCell ref="AG3:AH3"/>
    <mergeCell ref="AJ3:AK3"/>
    <mergeCell ref="AL3:AN3"/>
    <mergeCell ref="AL4:AN4"/>
  </mergeCells>
  <conditionalFormatting sqref="D22:E33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{9B77E2E1-9050-48F5-A9CF-C0A1D63045FA}</x14:id>
        </ext>
      </extLst>
    </cfRule>
  </conditionalFormatting>
  <conditionalFormatting sqref="P8:P69">
    <cfRule type="cellIs" dxfId="8" priority="1" operator="equal">
      <formula>"BILL-GENERATED-BUT-UNPAID"</formula>
    </cfRule>
    <cfRule type="cellIs" dxfId="7" priority="2" operator="equal">
      <formula>"CASHBACK"</formula>
    </cfRule>
    <cfRule type="cellIs" dxfId="6" priority="3" operator="equal">
      <formula>"CASHBACK"</formula>
    </cfRule>
    <cfRule type="cellIs" dxfId="5" priority="4" operator="equal">
      <formula>"GENERATED-BUT-UNPAID"</formula>
    </cfRule>
    <cfRule type="cellIs" dxfId="4" priority="5" operator="equal">
      <formula>"REFUNDED"</formula>
    </cfRule>
    <cfRule type="cellIs" dxfId="3" priority="6" operator="equal">
      <formula>"BILL-NOT-GENERATED"</formula>
    </cfRule>
    <cfRule type="cellIs" dxfId="2" priority="7" operator="equal">
      <formula>"PARTIALLY PAID"</formula>
    </cfRule>
    <cfRule type="cellIs" dxfId="1" priority="8" operator="equal">
      <formula>"UNPAID"</formula>
    </cfRule>
    <cfRule type="cellIs" dxfId="0" priority="9" operator="equal">
      <formula>"PAID"</formula>
    </cfRule>
  </conditionalFormatting>
  <dataValidations count="2">
    <dataValidation type="list" allowBlank="1" showInputMessage="1" showErrorMessage="1" sqref="P8:P69" xr:uid="{866FFA17-406C-4492-873E-AA9B162B5B68}">
      <formula1>"PAID,BILL-GENERATED-BUT-UNPAID,BILL-NOT-GENERATED,REFUNDED,CASHBACK"</formula1>
    </dataValidation>
    <dataValidation type="list" allowBlank="1" showInputMessage="1" showErrorMessage="1" sqref="G8:I69" xr:uid="{25440BA2-C8CA-40BB-86BD-7B231EE0B444}">
      <formula1>$A$39:$A$48</formula1>
    </dataValidation>
  </dataValidations>
  <hyperlinks>
    <hyperlink ref="AG4" r:id="rId1" xr:uid="{CEF713A0-CBAC-431E-A03C-5245969BB1FB}"/>
    <hyperlink ref="AL4" r:id="rId2" xr:uid="{15720EC8-6943-41B5-8F85-B0985E04820C}"/>
  </hyperlinks>
  <pageMargins left="0.7" right="0.7" top="0.75" bottom="0.75" header="0.3" footer="0.3"/>
  <pageSetup orientation="portrait" r:id="rId3"/>
  <legacy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77E2E1-9050-48F5-A9CF-C0A1D63045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D22:E33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Manager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Talib</dc:creator>
  <cp:lastModifiedBy>Abdul Talib</cp:lastModifiedBy>
  <dcterms:created xsi:type="dcterms:W3CDTF">2024-02-12T15:25:44Z</dcterms:created>
  <dcterms:modified xsi:type="dcterms:W3CDTF">2026-04-08T19:41:39Z</dcterms:modified>
</cp:coreProperties>
</file>